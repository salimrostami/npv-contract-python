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3. Similar enpvs - standard VaR/"/>
    </mc:Choice>
  </mc:AlternateContent>
  <xr:revisionPtr revIDLastSave="40" documentId="8_{4A8E4279-9045-444F-A1DD-65655F672874}" xr6:coauthVersionLast="47" xr6:coauthVersionMax="47" xr10:uidLastSave="{4E0E5907-E0B8-42C0-92E4-B5775BD7B815}"/>
  <bookViews>
    <workbookView xWindow="25490" yWindow="-3760" windowWidth="38620" windowHeight="21100" xr2:uid="{ED1AFC9B-9266-4D99-9A28-DEF9D329868D}"/>
  </bookViews>
  <sheets>
    <sheet name="~opt_report" sheetId="1" r:id="rId1"/>
  </sheets>
  <calcPr calcId="0"/>
</workbook>
</file>

<file path=xl/calcChain.xml><?xml version="1.0" encoding="utf-8"?>
<calcChain xmlns="http://schemas.openxmlformats.org/spreadsheetml/2006/main">
  <c r="V4" i="1" l="1"/>
  <c r="V5" i="1"/>
  <c r="V6" i="1"/>
  <c r="V7" i="1"/>
  <c r="V8" i="1"/>
  <c r="V9" i="1"/>
  <c r="V10" i="1"/>
  <c r="W10" i="1" s="1"/>
  <c r="V11" i="1"/>
  <c r="V12" i="1"/>
  <c r="V13" i="1"/>
  <c r="V14" i="1"/>
  <c r="V15" i="1"/>
  <c r="V16" i="1"/>
  <c r="V17" i="1"/>
  <c r="V18" i="1"/>
  <c r="W18" i="1" s="1"/>
  <c r="V19" i="1"/>
  <c r="V20" i="1"/>
  <c r="V21" i="1"/>
  <c r="V22" i="1"/>
  <c r="V23" i="1"/>
  <c r="V24" i="1"/>
  <c r="V25" i="1"/>
  <c r="V26" i="1"/>
  <c r="W26" i="1" s="1"/>
  <c r="V27" i="1"/>
  <c r="V28" i="1"/>
  <c r="V29" i="1"/>
  <c r="V30" i="1"/>
  <c r="V31" i="1"/>
  <c r="V32" i="1"/>
  <c r="V33" i="1"/>
  <c r="V34" i="1"/>
  <c r="W34" i="1" s="1"/>
  <c r="V35" i="1"/>
  <c r="V36" i="1"/>
  <c r="V37" i="1"/>
  <c r="V38" i="1"/>
  <c r="V39" i="1"/>
  <c r="V40" i="1"/>
  <c r="V41" i="1"/>
  <c r="V42" i="1"/>
  <c r="W42" i="1" s="1"/>
  <c r="V43" i="1"/>
  <c r="V44" i="1"/>
  <c r="V45" i="1"/>
  <c r="V46" i="1"/>
  <c r="V47" i="1"/>
  <c r="V48" i="1"/>
  <c r="V49" i="1"/>
  <c r="V50" i="1"/>
  <c r="W50" i="1" s="1"/>
  <c r="V51" i="1"/>
  <c r="V52" i="1"/>
  <c r="V53" i="1"/>
  <c r="V54" i="1"/>
  <c r="V55" i="1"/>
  <c r="V56" i="1"/>
  <c r="V57" i="1"/>
  <c r="V58" i="1"/>
  <c r="W58" i="1" s="1"/>
  <c r="V59" i="1"/>
  <c r="V60" i="1"/>
  <c r="V61" i="1"/>
  <c r="V62" i="1"/>
  <c r="V63" i="1"/>
  <c r="V64" i="1"/>
  <c r="V65" i="1"/>
  <c r="V66" i="1"/>
  <c r="W66" i="1" s="1"/>
  <c r="V67" i="1"/>
  <c r="V68" i="1"/>
  <c r="V69" i="1"/>
  <c r="V70" i="1"/>
  <c r="V71" i="1"/>
  <c r="V72" i="1"/>
  <c r="V73" i="1"/>
  <c r="V74" i="1"/>
  <c r="W74" i="1" s="1"/>
  <c r="V75" i="1"/>
  <c r="V76" i="1"/>
  <c r="V77" i="1"/>
  <c r="V78" i="1"/>
  <c r="V79" i="1"/>
  <c r="V80" i="1"/>
  <c r="V81" i="1"/>
  <c r="V82" i="1"/>
  <c r="W82" i="1" s="1"/>
  <c r="V83" i="1"/>
  <c r="V84" i="1"/>
  <c r="V85" i="1"/>
  <c r="V86" i="1"/>
  <c r="V87" i="1"/>
  <c r="V88" i="1"/>
  <c r="V89" i="1"/>
  <c r="V90" i="1"/>
  <c r="W90" i="1" s="1"/>
  <c r="V91" i="1"/>
  <c r="V92" i="1"/>
  <c r="V93" i="1"/>
  <c r="V94" i="1"/>
  <c r="V95" i="1"/>
  <c r="V96" i="1"/>
  <c r="V97" i="1"/>
  <c r="V98" i="1"/>
  <c r="W98" i="1" s="1"/>
  <c r="V99" i="1"/>
  <c r="V100" i="1"/>
  <c r="V101" i="1"/>
  <c r="V102" i="1"/>
  <c r="V103" i="1"/>
  <c r="V104" i="1"/>
  <c r="V105" i="1"/>
  <c r="V106" i="1"/>
  <c r="W106" i="1" s="1"/>
  <c r="V3" i="1"/>
  <c r="W3" i="1" s="1"/>
  <c r="Q4" i="1"/>
  <c r="R4" i="1"/>
  <c r="Q5" i="1"/>
  <c r="R5" i="1"/>
  <c r="Q6" i="1"/>
  <c r="R6" i="1"/>
  <c r="Q7" i="1"/>
  <c r="R7" i="1"/>
  <c r="Q8" i="1"/>
  <c r="R8" i="1"/>
  <c r="Q9" i="1"/>
  <c r="R9" i="1"/>
  <c r="Q10" i="1"/>
  <c r="S10" i="1" s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S18" i="1" s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S26" i="1" s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S34" i="1" s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S42" i="1" s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S50" i="1" s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S58" i="1" s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S66" i="1" s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S74" i="1" s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S82" i="1" s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S90" i="1" s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S98" i="1" s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S106" i="1" s="1"/>
  <c r="R106" i="1"/>
  <c r="Q3" i="1"/>
  <c r="S3" i="1" s="1"/>
  <c r="R3" i="1"/>
  <c r="W88" i="1" l="1"/>
  <c r="W80" i="1"/>
  <c r="W72" i="1"/>
  <c r="W24" i="1"/>
  <c r="W16" i="1"/>
  <c r="W8" i="1"/>
  <c r="W105" i="1"/>
  <c r="W65" i="1"/>
  <c r="W49" i="1"/>
  <c r="W79" i="1"/>
  <c r="W71" i="1"/>
  <c r="W63" i="1"/>
  <c r="W15" i="1"/>
  <c r="W7" i="1"/>
  <c r="W91" i="1"/>
  <c r="W57" i="1"/>
  <c r="W41" i="1"/>
  <c r="W17" i="1"/>
  <c r="W94" i="1"/>
  <c r="W54" i="1"/>
  <c r="W46" i="1"/>
  <c r="W30" i="1"/>
  <c r="W83" i="1"/>
  <c r="W61" i="1"/>
  <c r="W53" i="1"/>
  <c r="W45" i="1"/>
  <c r="W37" i="1"/>
  <c r="W21" i="1"/>
  <c r="W100" i="1"/>
  <c r="W92" i="1"/>
  <c r="W84" i="1"/>
  <c r="W76" i="1"/>
  <c r="W36" i="1"/>
  <c r="W28" i="1"/>
  <c r="W20" i="1"/>
  <c r="W12" i="1"/>
  <c r="S77" i="1"/>
  <c r="W77" i="1" s="1"/>
  <c r="S69" i="1"/>
  <c r="W69" i="1" s="1"/>
  <c r="S61" i="1"/>
  <c r="S53" i="1"/>
  <c r="S45" i="1"/>
  <c r="S37" i="1"/>
  <c r="S29" i="1"/>
  <c r="W29" i="1" s="1"/>
  <c r="S21" i="1"/>
  <c r="S13" i="1"/>
  <c r="W13" i="1" s="1"/>
  <c r="S5" i="1"/>
  <c r="W5" i="1" s="1"/>
  <c r="S105" i="1"/>
  <c r="S97" i="1"/>
  <c r="W97" i="1" s="1"/>
  <c r="S89" i="1"/>
  <c r="W89" i="1" s="1"/>
  <c r="S81" i="1"/>
  <c r="W81" i="1" s="1"/>
  <c r="S73" i="1"/>
  <c r="W73" i="1" s="1"/>
  <c r="S65" i="1"/>
  <c r="S57" i="1"/>
  <c r="S49" i="1"/>
  <c r="S41" i="1"/>
  <c r="S33" i="1"/>
  <c r="W33" i="1" s="1"/>
  <c r="S25" i="1"/>
  <c r="W25" i="1" s="1"/>
  <c r="S17" i="1"/>
  <c r="S9" i="1"/>
  <c r="W9" i="1" s="1"/>
  <c r="S104" i="1"/>
  <c r="W104" i="1" s="1"/>
  <c r="S96" i="1"/>
  <c r="W96" i="1" s="1"/>
  <c r="S88" i="1"/>
  <c r="S80" i="1"/>
  <c r="S72" i="1"/>
  <c r="S64" i="1"/>
  <c r="W64" i="1" s="1"/>
  <c r="S56" i="1"/>
  <c r="W56" i="1" s="1"/>
  <c r="S48" i="1"/>
  <c r="W48" i="1" s="1"/>
  <c r="S40" i="1"/>
  <c r="W40" i="1" s="1"/>
  <c r="S32" i="1"/>
  <c r="W32" i="1" s="1"/>
  <c r="S24" i="1"/>
  <c r="S16" i="1"/>
  <c r="S8" i="1"/>
  <c r="S103" i="1"/>
  <c r="W103" i="1" s="1"/>
  <c r="S95" i="1"/>
  <c r="W95" i="1" s="1"/>
  <c r="S87" i="1"/>
  <c r="W87" i="1" s="1"/>
  <c r="S79" i="1"/>
  <c r="S71" i="1"/>
  <c r="S63" i="1"/>
  <c r="S55" i="1"/>
  <c r="W55" i="1" s="1"/>
  <c r="S47" i="1"/>
  <c r="W47" i="1" s="1"/>
  <c r="S39" i="1"/>
  <c r="W39" i="1" s="1"/>
  <c r="S31" i="1"/>
  <c r="W31" i="1" s="1"/>
  <c r="S23" i="1"/>
  <c r="W23" i="1" s="1"/>
  <c r="S15" i="1"/>
  <c r="S7" i="1"/>
  <c r="S102" i="1"/>
  <c r="W102" i="1" s="1"/>
  <c r="S94" i="1"/>
  <c r="S86" i="1"/>
  <c r="W86" i="1" s="1"/>
  <c r="S78" i="1"/>
  <c r="W78" i="1" s="1"/>
  <c r="S70" i="1"/>
  <c r="W70" i="1" s="1"/>
  <c r="S62" i="1"/>
  <c r="W62" i="1" s="1"/>
  <c r="S54" i="1"/>
  <c r="S46" i="1"/>
  <c r="S38" i="1"/>
  <c r="W38" i="1" s="1"/>
  <c r="S30" i="1"/>
  <c r="S22" i="1"/>
  <c r="W22" i="1" s="1"/>
  <c r="S14" i="1"/>
  <c r="W14" i="1" s="1"/>
  <c r="S6" i="1"/>
  <c r="W6" i="1" s="1"/>
  <c r="S101" i="1"/>
  <c r="W101" i="1" s="1"/>
  <c r="S93" i="1"/>
  <c r="W93" i="1" s="1"/>
  <c r="S85" i="1"/>
  <c r="W85" i="1" s="1"/>
  <c r="S100" i="1"/>
  <c r="S92" i="1"/>
  <c r="S84" i="1"/>
  <c r="S76" i="1"/>
  <c r="S68" i="1"/>
  <c r="W68" i="1" s="1"/>
  <c r="S52" i="1"/>
  <c r="W52" i="1" s="1"/>
  <c r="S44" i="1"/>
  <c r="W44" i="1" s="1"/>
  <c r="S36" i="1"/>
  <c r="S28" i="1"/>
  <c r="S20" i="1"/>
  <c r="S12" i="1"/>
  <c r="S4" i="1"/>
  <c r="W4" i="1" s="1"/>
  <c r="S60" i="1"/>
  <c r="W60" i="1" s="1"/>
  <c r="S99" i="1"/>
  <c r="W99" i="1" s="1"/>
  <c r="S91" i="1"/>
  <c r="S83" i="1"/>
  <c r="S75" i="1"/>
  <c r="W75" i="1" s="1"/>
  <c r="S67" i="1"/>
  <c r="W67" i="1" s="1"/>
  <c r="S59" i="1"/>
  <c r="W59" i="1" s="1"/>
  <c r="S51" i="1"/>
  <c r="W51" i="1" s="1"/>
  <c r="S43" i="1"/>
  <c r="W43" i="1" s="1"/>
  <c r="S35" i="1"/>
  <c r="W35" i="1" s="1"/>
  <c r="S27" i="1"/>
  <c r="W27" i="1" s="1"/>
  <c r="S19" i="1"/>
  <c r="W19" i="1" s="1"/>
  <c r="S11" i="1"/>
  <c r="W11" i="1" s="1"/>
  <c r="W2" i="1" l="1"/>
</calcChain>
</file>

<file path=xl/sharedStrings.xml><?xml version="1.0" encoding="utf-8"?>
<sst xmlns="http://schemas.openxmlformats.org/spreadsheetml/2006/main" count="129" uniqueCount="24">
  <si>
    <t xml:space="preserve">time      </t>
  </si>
  <si>
    <t xml:space="preserve">proj_id   </t>
  </si>
  <si>
    <t xml:space="preserve">cont_type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</si>
  <si>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</si>
  <si>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</si>
  <si>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</si>
  <si>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</si>
  <si>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</si>
  <si>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SB_Risk   </t>
  </si>
  <si>
    <t xml:space="preserve">B_Risk    </t>
  </si>
  <si>
    <t xml:space="preserve">SO_Risk   </t>
  </si>
  <si>
    <t xml:space="preserve">O_Risk    </t>
  </si>
  <si>
    <t xml:space="preserve">B_VaR     </t>
  </si>
  <si>
    <t xml:space="preserve">O_VaR     </t>
  </si>
  <si>
    <t xml:space="preserve">ST_VaR    </t>
  </si>
  <si>
    <t xml:space="preserve">T_VaR     </t>
  </si>
  <si>
    <t xml:space="preserve">ls        </t>
  </si>
  <si>
    <t xml:space="preserve">cp        </t>
  </si>
  <si>
    <t xml:space="preserve">lh        </t>
  </si>
  <si>
    <t xml:space="preserve">tm        </t>
  </si>
  <si>
    <t>T_var</t>
  </si>
  <si>
    <t>New Standard VaRs</t>
  </si>
  <si>
    <t>transform standard to old</t>
  </si>
  <si>
    <t>old VaRs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</si>
</sst>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897D-919B-4603-9DB2-E53DBC07E61C}">
  <dimension ref="A1:W106"/>
  <sheetViews>
    <sheetView tabSelected="1" workbookViewId="0">
      <selection activeCell="V3" sqref="V3"/>
    </sheetView>
  </sheetViews>
  <sheetFormatPr defaultRowHeight="15" x14ac:dyDescent="0.25"/>
  <cols>
    <col min="1" max="1" width="15.85546875" bestFit="1" customWidth="1"/>
    <col min="2" max="2" width="8.42578125" bestFit="1" customWidth="1"/>
    <col min="3" max="3" width="9.7109375" bestFit="1" customWidth="1"/>
    <col min="4" max="4" width="11.42578125" bestFit="1" customWidth="1"/>
    <col min="5" max="5" width="7.140625" bestFit="1" customWidth="1"/>
    <col min="6" max="6" width="11.42578125" bestFit="1" customWidth="1"/>
    <col min="7" max="7" width="9.42578125" bestFit="1" customWidth="1"/>
    <col min="8" max="8" width="13.140625" bestFit="1" customWidth="1"/>
    <col min="9" max="9" width="9" bestFit="1" customWidth="1"/>
    <col min="10" max="10" width="12.42578125" bestFit="1" customWidth="1"/>
    <col min="11" max="11" width="9.28515625" bestFit="1" customWidth="1"/>
    <col min="12" max="12" width="12.42578125" bestFit="1" customWidth="1"/>
    <col min="13" max="18" width="13.140625" bestFit="1" customWidth="1"/>
    <col min="19" max="19" width="12.7109375" bestFit="1" customWidth="1"/>
    <col min="20" max="21" width="13.140625" bestFit="1" customWidth="1"/>
    <col min="22" max="22" width="13.140625" customWidth="1"/>
  </cols>
  <sheetData>
    <row r="1" spans="1:23" x14ac:dyDescent="0.25">
      <c r="M1" s="2" t="s">
        <v>21</v>
      </c>
      <c r="N1" s="2"/>
      <c r="O1" s="2"/>
      <c r="P1" s="2"/>
      <c r="Q1" s="2" t="s">
        <v>22</v>
      </c>
      <c r="R1" s="2"/>
      <c r="S1" s="2"/>
      <c r="T1" s="2" t="s">
        <v>23</v>
      </c>
      <c r="U1" s="2"/>
      <c r="V1" s="2"/>
    </row>
    <row r="2" spans="1:2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12</v>
      </c>
      <c r="R2" t="s">
        <v>13</v>
      </c>
      <c r="S2" t="s">
        <v>20</v>
      </c>
      <c r="T2" t="s">
        <v>12</v>
      </c>
      <c r="U2" t="s">
        <v>13</v>
      </c>
      <c r="V2" t="s">
        <v>20</v>
      </c>
      <c r="W2">
        <f>SUM(W3:W106)</f>
        <v>0</v>
      </c>
    </row>
    <row r="3" spans="1:23" x14ac:dyDescent="0.25">
      <c r="A3" s="1">
        <v>45949.728090277778</v>
      </c>
      <c r="B3">
        <v>1</v>
      </c>
      <c r="C3" t="s">
        <v>16</v>
      </c>
      <c r="D3">
        <v>37261.088199999998</v>
      </c>
      <c r="E3">
        <v>0</v>
      </c>
      <c r="F3">
        <v>0</v>
      </c>
      <c r="G3">
        <v>5000</v>
      </c>
      <c r="H3">
        <v>5213.8093444899996</v>
      </c>
      <c r="I3">
        <v>29.901</v>
      </c>
      <c r="J3">
        <v>30.001638710000002</v>
      </c>
      <c r="K3">
        <v>0</v>
      </c>
      <c r="L3">
        <v>0</v>
      </c>
      <c r="M3">
        <v>-5440.15611825</v>
      </c>
      <c r="N3">
        <v>3362.8393979299999</v>
      </c>
      <c r="O3">
        <v>-2073.2475308100002</v>
      </c>
      <c r="P3">
        <v>-2077.31672033</v>
      </c>
      <c r="Q3">
        <f>M3-G3</f>
        <v>-10440.156118250001</v>
      </c>
      <c r="R3">
        <f>N3-H3</f>
        <v>-1850.9699465599997</v>
      </c>
      <c r="S3">
        <f>Q3+R3</f>
        <v>-12291.12606481</v>
      </c>
      <c r="T3">
        <v>-10440.156118250001</v>
      </c>
      <c r="U3">
        <v>-1850.96994657</v>
      </c>
      <c r="V3">
        <f>T3+U3</f>
        <v>-12291.12606482</v>
      </c>
      <c r="W3">
        <f>ROUND(ABS(V3-S3),5)</f>
        <v>0</v>
      </c>
    </row>
    <row r="4" spans="1:23" x14ac:dyDescent="0.25">
      <c r="A4" s="1">
        <v>45949.728090277778</v>
      </c>
      <c r="B4">
        <v>1</v>
      </c>
      <c r="C4" t="s">
        <v>17</v>
      </c>
      <c r="D4">
        <v>28522.171200000001</v>
      </c>
      <c r="E4">
        <v>0.3427</v>
      </c>
      <c r="F4">
        <v>0</v>
      </c>
      <c r="G4">
        <v>5000</v>
      </c>
      <c r="H4">
        <v>5213.8093444899996</v>
      </c>
      <c r="I4">
        <v>19.529</v>
      </c>
      <c r="J4">
        <v>19.574865030000002</v>
      </c>
      <c r="K4">
        <v>0</v>
      </c>
      <c r="L4">
        <v>0</v>
      </c>
      <c r="M4">
        <v>-2140.2765471600001</v>
      </c>
      <c r="N4">
        <v>1491.00264019</v>
      </c>
      <c r="O4">
        <v>-618.50268967</v>
      </c>
      <c r="P4">
        <v>-649.27390695999998</v>
      </c>
      <c r="Q4">
        <f t="shared" ref="Q4:Q67" si="0">M4-G4</f>
        <v>-7140.2765471599996</v>
      </c>
      <c r="R4">
        <f t="shared" ref="R4:R67" si="1">N4-H4</f>
        <v>-3722.8067042999996</v>
      </c>
      <c r="S4">
        <f t="shared" ref="S4:S67" si="2">Q4+R4</f>
        <v>-10863.083251459999</v>
      </c>
      <c r="T4">
        <v>-7140.2765471599996</v>
      </c>
      <c r="U4">
        <v>-3722.8067043000001</v>
      </c>
      <c r="V4">
        <f t="shared" ref="V4:V67" si="3">T4+U4</f>
        <v>-10863.083251460001</v>
      </c>
      <c r="W4">
        <f t="shared" ref="W4:W67" si="4">ROUND(ABS(V4-S4),5)</f>
        <v>0</v>
      </c>
    </row>
    <row r="5" spans="1:23" x14ac:dyDescent="0.25">
      <c r="A5" s="1">
        <v>45949.728090277778</v>
      </c>
      <c r="B5">
        <v>1</v>
      </c>
      <c r="C5" t="s">
        <v>18</v>
      </c>
      <c r="D5">
        <v>37261.088199999998</v>
      </c>
      <c r="E5">
        <v>0</v>
      </c>
      <c r="F5">
        <v>0</v>
      </c>
      <c r="G5">
        <v>5000</v>
      </c>
      <c r="H5">
        <v>5213.8093444899996</v>
      </c>
      <c r="I5">
        <v>29.943999999999999</v>
      </c>
      <c r="J5">
        <v>30.001638710000002</v>
      </c>
      <c r="K5">
        <v>0</v>
      </c>
      <c r="L5">
        <v>0</v>
      </c>
      <c r="M5">
        <v>-5440.15611825</v>
      </c>
      <c r="N5">
        <v>3362.8393979299999</v>
      </c>
      <c r="O5">
        <v>-2084.19963207</v>
      </c>
      <c r="P5">
        <v>-2077.31672033</v>
      </c>
      <c r="Q5">
        <f t="shared" si="0"/>
        <v>-10440.156118250001</v>
      </c>
      <c r="R5">
        <f t="shared" si="1"/>
        <v>-1850.9699465599997</v>
      </c>
      <c r="S5">
        <f t="shared" si="2"/>
        <v>-12291.12606481</v>
      </c>
      <c r="T5">
        <v>-10440.156118250001</v>
      </c>
      <c r="U5">
        <v>-1850.96994657</v>
      </c>
      <c r="V5">
        <f t="shared" si="3"/>
        <v>-12291.12606482</v>
      </c>
      <c r="W5">
        <f t="shared" si="4"/>
        <v>0</v>
      </c>
    </row>
    <row r="6" spans="1:23" x14ac:dyDescent="0.25">
      <c r="A6" s="1">
        <v>45949.728090277778</v>
      </c>
      <c r="B6">
        <v>1</v>
      </c>
      <c r="C6" t="s">
        <v>19</v>
      </c>
      <c r="D6">
        <v>20062.736000000001</v>
      </c>
      <c r="E6">
        <v>0.5625</v>
      </c>
      <c r="F6">
        <v>590.53319999999997</v>
      </c>
      <c r="G6">
        <v>5000</v>
      </c>
      <c r="H6">
        <v>5213.8093444899996</v>
      </c>
      <c r="I6">
        <v>2.7890000000000001</v>
      </c>
      <c r="J6">
        <v>2.9118134900000001</v>
      </c>
      <c r="K6">
        <v>11.847</v>
      </c>
      <c r="L6">
        <v>11.95796612</v>
      </c>
      <c r="M6">
        <v>274.02838495999998</v>
      </c>
      <c r="N6">
        <v>-923.30229193000002</v>
      </c>
      <c r="O6">
        <v>-615.62419811999996</v>
      </c>
      <c r="P6">
        <v>-649.27390695999998</v>
      </c>
      <c r="Q6">
        <f t="shared" si="0"/>
        <v>-4725.97161504</v>
      </c>
      <c r="R6">
        <f t="shared" si="1"/>
        <v>-6137.1116364199997</v>
      </c>
      <c r="S6">
        <f t="shared" si="2"/>
        <v>-10863.083251460001</v>
      </c>
      <c r="T6">
        <v>-5412.4855566699998</v>
      </c>
      <c r="U6">
        <v>-5450.5976947999998</v>
      </c>
      <c r="V6">
        <f t="shared" si="3"/>
        <v>-10863.08325147</v>
      </c>
      <c r="W6">
        <f t="shared" si="4"/>
        <v>0</v>
      </c>
    </row>
    <row r="7" spans="1:23" x14ac:dyDescent="0.25">
      <c r="A7" s="1">
        <v>45949.728159722225</v>
      </c>
      <c r="B7">
        <v>2</v>
      </c>
      <c r="C7" t="s">
        <v>16</v>
      </c>
      <c r="D7">
        <v>30556.652900000001</v>
      </c>
      <c r="E7">
        <v>0</v>
      </c>
      <c r="F7">
        <v>0</v>
      </c>
      <c r="G7">
        <v>5000</v>
      </c>
      <c r="H7">
        <v>9213.8093444900005</v>
      </c>
      <c r="I7">
        <v>28.867999999999999</v>
      </c>
      <c r="J7">
        <v>28.809468070000001</v>
      </c>
      <c r="K7">
        <v>0</v>
      </c>
      <c r="L7">
        <v>0</v>
      </c>
      <c r="M7">
        <v>-5335.6701299099996</v>
      </c>
      <c r="N7">
        <v>5942.78751319</v>
      </c>
      <c r="O7">
        <v>584.98419489000003</v>
      </c>
      <c r="P7">
        <v>607.11738328000001</v>
      </c>
      <c r="Q7">
        <f t="shared" si="0"/>
        <v>-10335.670129909999</v>
      </c>
      <c r="R7">
        <f t="shared" si="1"/>
        <v>-3271.0218313000005</v>
      </c>
      <c r="S7">
        <f t="shared" si="2"/>
        <v>-13606.691961209999</v>
      </c>
      <c r="T7">
        <v>-10335.67012991</v>
      </c>
      <c r="U7">
        <v>-3271.0218313</v>
      </c>
      <c r="V7">
        <f t="shared" si="3"/>
        <v>-13606.691961210001</v>
      </c>
      <c r="W7">
        <f t="shared" si="4"/>
        <v>0</v>
      </c>
    </row>
    <row r="8" spans="1:23" x14ac:dyDescent="0.25">
      <c r="A8" s="1">
        <v>45949.728159722225</v>
      </c>
      <c r="B8">
        <v>2</v>
      </c>
      <c r="C8" t="s">
        <v>17</v>
      </c>
      <c r="D8">
        <v>17535.794099999999</v>
      </c>
      <c r="E8">
        <v>0.60560000000000003</v>
      </c>
      <c r="F8">
        <v>0</v>
      </c>
      <c r="G8">
        <v>5000</v>
      </c>
      <c r="H8">
        <v>9213.8093444900005</v>
      </c>
      <c r="I8">
        <v>0.16800000000000001</v>
      </c>
      <c r="J8">
        <v>0.17226071000000001</v>
      </c>
      <c r="K8">
        <v>0</v>
      </c>
      <c r="L8">
        <v>0</v>
      </c>
      <c r="M8">
        <v>715.83202839</v>
      </c>
      <c r="N8">
        <v>2634.89406465</v>
      </c>
      <c r="O8">
        <v>3351.93115627</v>
      </c>
      <c r="P8">
        <v>3350.7260930299999</v>
      </c>
      <c r="Q8">
        <f t="shared" si="0"/>
        <v>-4284.1679716099998</v>
      </c>
      <c r="R8">
        <f t="shared" si="1"/>
        <v>-6578.9152798400009</v>
      </c>
      <c r="S8">
        <f t="shared" si="2"/>
        <v>-10863.08325145</v>
      </c>
      <c r="T8">
        <v>-4284.1679716099998</v>
      </c>
      <c r="U8">
        <v>-6578.9152798499999</v>
      </c>
      <c r="V8">
        <f t="shared" si="3"/>
        <v>-10863.083251460001</v>
      </c>
      <c r="W8">
        <f t="shared" si="4"/>
        <v>0</v>
      </c>
    </row>
    <row r="9" spans="1:23" x14ac:dyDescent="0.25">
      <c r="A9" s="1">
        <v>45949.728159722225</v>
      </c>
      <c r="B9">
        <v>2</v>
      </c>
      <c r="C9" t="s">
        <v>18</v>
      </c>
      <c r="D9">
        <v>30556.652900000001</v>
      </c>
      <c r="E9">
        <v>0</v>
      </c>
      <c r="F9">
        <v>0</v>
      </c>
      <c r="G9">
        <v>5000</v>
      </c>
      <c r="H9">
        <v>9213.8093444900005</v>
      </c>
      <c r="I9">
        <v>28.835999999999999</v>
      </c>
      <c r="J9">
        <v>28.809468070000001</v>
      </c>
      <c r="K9">
        <v>0</v>
      </c>
      <c r="L9">
        <v>0</v>
      </c>
      <c r="M9">
        <v>-5335.6701299099996</v>
      </c>
      <c r="N9">
        <v>5942.78751319</v>
      </c>
      <c r="O9">
        <v>564.36601435</v>
      </c>
      <c r="P9">
        <v>607.11738328000001</v>
      </c>
      <c r="Q9">
        <f t="shared" si="0"/>
        <v>-10335.670129909999</v>
      </c>
      <c r="R9">
        <f t="shared" si="1"/>
        <v>-3271.0218313000005</v>
      </c>
      <c r="S9">
        <f t="shared" si="2"/>
        <v>-13606.691961209999</v>
      </c>
      <c r="T9">
        <v>-10335.67012991</v>
      </c>
      <c r="U9">
        <v>-3271.0218313</v>
      </c>
      <c r="V9">
        <f t="shared" si="3"/>
        <v>-13606.691961210001</v>
      </c>
      <c r="W9">
        <f t="shared" si="4"/>
        <v>0</v>
      </c>
    </row>
    <row r="10" spans="1:23" x14ac:dyDescent="0.25">
      <c r="A10" s="1">
        <v>45949.728159722225</v>
      </c>
      <c r="B10">
        <v>2</v>
      </c>
      <c r="C10" t="s">
        <v>19</v>
      </c>
      <c r="D10">
        <v>12556.544400000001</v>
      </c>
      <c r="E10">
        <v>0.75</v>
      </c>
      <c r="F10">
        <v>387.90480000000002</v>
      </c>
      <c r="G10">
        <v>5000</v>
      </c>
      <c r="H10">
        <v>9213.8093444900005</v>
      </c>
      <c r="I10">
        <v>0</v>
      </c>
      <c r="J10">
        <v>0</v>
      </c>
      <c r="K10">
        <v>0.70599999999999996</v>
      </c>
      <c r="L10">
        <v>0.68825141999999995</v>
      </c>
      <c r="M10">
        <v>2301.7207087100001</v>
      </c>
      <c r="N10">
        <v>1049.0053843200001</v>
      </c>
      <c r="O10">
        <v>3344.96926992</v>
      </c>
      <c r="P10">
        <v>3350.7260930299999</v>
      </c>
      <c r="Q10">
        <f t="shared" si="0"/>
        <v>-2698.2792912899999</v>
      </c>
      <c r="R10">
        <f t="shared" si="1"/>
        <v>-8164.8039601700002</v>
      </c>
      <c r="S10">
        <f t="shared" si="2"/>
        <v>-10863.083251460001</v>
      </c>
      <c r="T10">
        <v>-2698.2792912899999</v>
      </c>
      <c r="U10">
        <v>-8164.8039601700002</v>
      </c>
      <c r="V10">
        <f t="shared" si="3"/>
        <v>-10863.083251460001</v>
      </c>
      <c r="W10">
        <f t="shared" si="4"/>
        <v>0</v>
      </c>
    </row>
    <row r="11" spans="1:23" x14ac:dyDescent="0.25">
      <c r="A11" s="1">
        <v>45949.728263888886</v>
      </c>
      <c r="B11">
        <v>3</v>
      </c>
      <c r="C11" t="s">
        <v>16</v>
      </c>
      <c r="D11">
        <v>33070.816099999996</v>
      </c>
      <c r="E11">
        <v>0</v>
      </c>
      <c r="F11">
        <v>0</v>
      </c>
      <c r="G11">
        <v>5000</v>
      </c>
      <c r="H11">
        <v>7713.8093444899996</v>
      </c>
      <c r="I11">
        <v>29.268000000000001</v>
      </c>
      <c r="J11">
        <v>29.256532060000001</v>
      </c>
      <c r="K11">
        <v>0</v>
      </c>
      <c r="L11">
        <v>0</v>
      </c>
      <c r="M11">
        <v>-5297.13056598</v>
      </c>
      <c r="N11">
        <v>4975.30696997</v>
      </c>
      <c r="O11">
        <v>-314.74480519999997</v>
      </c>
      <c r="P11">
        <v>-321.82359601000002</v>
      </c>
      <c r="Q11">
        <f t="shared" si="0"/>
        <v>-10297.13056598</v>
      </c>
      <c r="R11">
        <f t="shared" si="1"/>
        <v>-2738.5023745199996</v>
      </c>
      <c r="S11">
        <f t="shared" si="2"/>
        <v>-13035.6329405</v>
      </c>
      <c r="T11">
        <v>-10297.13056598</v>
      </c>
      <c r="U11">
        <v>-2738.50237453</v>
      </c>
      <c r="V11">
        <f t="shared" si="3"/>
        <v>-13035.63294051</v>
      </c>
      <c r="W11">
        <f t="shared" si="4"/>
        <v>0</v>
      </c>
    </row>
    <row r="12" spans="1:23" x14ac:dyDescent="0.25">
      <c r="A12" s="1">
        <v>45949.728263888886</v>
      </c>
      <c r="B12">
        <v>3</v>
      </c>
      <c r="C12" t="s">
        <v>17</v>
      </c>
      <c r="D12">
        <v>21409.202700000002</v>
      </c>
      <c r="E12">
        <v>0.50700000000000001</v>
      </c>
      <c r="F12">
        <v>0</v>
      </c>
      <c r="G12">
        <v>5000</v>
      </c>
      <c r="H12">
        <v>7713.8093444899996</v>
      </c>
      <c r="I12">
        <v>8.016</v>
      </c>
      <c r="J12">
        <v>7.9605523199999997</v>
      </c>
      <c r="K12">
        <v>0</v>
      </c>
      <c r="L12">
        <v>0</v>
      </c>
      <c r="M12">
        <v>-355.20996452000003</v>
      </c>
      <c r="N12">
        <v>2205.93605755</v>
      </c>
      <c r="O12">
        <v>1824.9048911899999</v>
      </c>
      <c r="P12">
        <v>1850.7260930299999</v>
      </c>
      <c r="Q12">
        <f t="shared" si="0"/>
        <v>-5355.2099645199996</v>
      </c>
      <c r="R12">
        <f t="shared" si="1"/>
        <v>-5507.8732869399992</v>
      </c>
      <c r="S12">
        <f t="shared" si="2"/>
        <v>-10863.083251459999</v>
      </c>
      <c r="T12">
        <v>-5355.2099645199996</v>
      </c>
      <c r="U12">
        <v>-5507.8732869400001</v>
      </c>
      <c r="V12">
        <f t="shared" si="3"/>
        <v>-10863.083251460001</v>
      </c>
      <c r="W12">
        <f t="shared" si="4"/>
        <v>0</v>
      </c>
    </row>
    <row r="13" spans="1:23" x14ac:dyDescent="0.25">
      <c r="A13" s="1">
        <v>45949.728263888886</v>
      </c>
      <c r="B13">
        <v>3</v>
      </c>
      <c r="C13" t="s">
        <v>18</v>
      </c>
      <c r="D13">
        <v>33070.816099999996</v>
      </c>
      <c r="E13">
        <v>0</v>
      </c>
      <c r="F13">
        <v>0</v>
      </c>
      <c r="G13">
        <v>5000</v>
      </c>
      <c r="H13">
        <v>7713.8093444899996</v>
      </c>
      <c r="I13">
        <v>29.228999999999999</v>
      </c>
      <c r="J13">
        <v>29.256532060000001</v>
      </c>
      <c r="K13">
        <v>0</v>
      </c>
      <c r="L13">
        <v>0</v>
      </c>
      <c r="M13">
        <v>-5297.13056598</v>
      </c>
      <c r="N13">
        <v>4975.30696997</v>
      </c>
      <c r="O13">
        <v>-319.47875699999997</v>
      </c>
      <c r="P13">
        <v>-321.82359601000002</v>
      </c>
      <c r="Q13">
        <f t="shared" si="0"/>
        <v>-10297.13056598</v>
      </c>
      <c r="R13">
        <f t="shared" si="1"/>
        <v>-2738.5023745199996</v>
      </c>
      <c r="S13">
        <f t="shared" si="2"/>
        <v>-13035.6329405</v>
      </c>
      <c r="T13">
        <v>-10297.13056598</v>
      </c>
      <c r="U13">
        <v>-2738.50237453</v>
      </c>
      <c r="V13">
        <f t="shared" si="3"/>
        <v>-13035.63294051</v>
      </c>
      <c r="W13">
        <f t="shared" si="4"/>
        <v>0</v>
      </c>
    </row>
    <row r="14" spans="1:23" x14ac:dyDescent="0.25">
      <c r="A14" s="1">
        <v>45949.728263888886</v>
      </c>
      <c r="B14">
        <v>3</v>
      </c>
      <c r="C14" t="s">
        <v>19</v>
      </c>
      <c r="D14">
        <v>19412.865300000001</v>
      </c>
      <c r="E14">
        <v>0.5625</v>
      </c>
      <c r="F14">
        <v>149.0401</v>
      </c>
      <c r="G14">
        <v>5000</v>
      </c>
      <c r="H14">
        <v>7713.8093444899996</v>
      </c>
      <c r="I14">
        <v>2.903</v>
      </c>
      <c r="J14">
        <v>2.9699875800000002</v>
      </c>
      <c r="K14">
        <v>0</v>
      </c>
      <c r="L14">
        <v>0</v>
      </c>
      <c r="M14">
        <v>254.12091708</v>
      </c>
      <c r="N14">
        <v>1596.6051759500001</v>
      </c>
      <c r="O14">
        <v>1852.1576177100001</v>
      </c>
      <c r="P14">
        <v>1850.72609304</v>
      </c>
      <c r="Q14">
        <f t="shared" si="0"/>
        <v>-4745.8790829199997</v>
      </c>
      <c r="R14">
        <f t="shared" si="1"/>
        <v>-6117.20416854</v>
      </c>
      <c r="S14">
        <f t="shared" si="2"/>
        <v>-10863.083251460001</v>
      </c>
      <c r="T14">
        <v>-4059.3623950400001</v>
      </c>
      <c r="U14">
        <v>-6803.7208564299999</v>
      </c>
      <c r="V14">
        <f t="shared" si="3"/>
        <v>-10863.08325147</v>
      </c>
      <c r="W14">
        <f t="shared" si="4"/>
        <v>0</v>
      </c>
    </row>
    <row r="15" spans="1:23" x14ac:dyDescent="0.25">
      <c r="A15" s="1">
        <v>45949.728402777779</v>
      </c>
      <c r="B15">
        <v>4</v>
      </c>
      <c r="C15" t="s">
        <v>16</v>
      </c>
      <c r="D15">
        <v>41451.360200000003</v>
      </c>
      <c r="E15">
        <v>0</v>
      </c>
      <c r="F15">
        <v>0</v>
      </c>
      <c r="G15">
        <v>5000</v>
      </c>
      <c r="H15">
        <v>2713.8093444900001</v>
      </c>
      <c r="I15">
        <v>30.884</v>
      </c>
      <c r="J15">
        <v>30.746745369999999</v>
      </c>
      <c r="K15">
        <v>0</v>
      </c>
      <c r="L15">
        <v>0</v>
      </c>
      <c r="M15">
        <v>-5602.2853515500001</v>
      </c>
      <c r="N15">
        <v>1750.37182588</v>
      </c>
      <c r="O15">
        <v>-3878.5389705600001</v>
      </c>
      <c r="P15">
        <v>-3851.9135256599998</v>
      </c>
      <c r="Q15">
        <f t="shared" si="0"/>
        <v>-10602.285351549999</v>
      </c>
      <c r="R15">
        <f t="shared" si="1"/>
        <v>-963.4375186100001</v>
      </c>
      <c r="S15">
        <f t="shared" si="2"/>
        <v>-11565.72287016</v>
      </c>
      <c r="T15">
        <v>-10602.285351549999</v>
      </c>
      <c r="U15">
        <v>-963.43751860999998</v>
      </c>
      <c r="V15">
        <f t="shared" si="3"/>
        <v>-11565.72287016</v>
      </c>
      <c r="W15">
        <f t="shared" si="4"/>
        <v>0</v>
      </c>
    </row>
    <row r="16" spans="1:23" x14ac:dyDescent="0.25">
      <c r="A16" s="1">
        <v>45949.728402777779</v>
      </c>
      <c r="B16">
        <v>4</v>
      </c>
      <c r="C16" t="s">
        <v>17</v>
      </c>
      <c r="D16">
        <v>36456.773300000001</v>
      </c>
      <c r="E16">
        <v>0.1784</v>
      </c>
      <c r="F16">
        <v>0</v>
      </c>
      <c r="G16">
        <v>5000</v>
      </c>
      <c r="H16">
        <v>2713.8093444900001</v>
      </c>
      <c r="I16">
        <v>26.399000000000001</v>
      </c>
      <c r="J16">
        <v>26.56677024</v>
      </c>
      <c r="K16">
        <v>0</v>
      </c>
      <c r="L16">
        <v>0</v>
      </c>
      <c r="M16">
        <v>-3925.34721644</v>
      </c>
      <c r="N16">
        <v>776.07330947000003</v>
      </c>
      <c r="O16">
        <v>-3174.7297066299998</v>
      </c>
      <c r="P16">
        <v>-3149.2739069700001</v>
      </c>
      <c r="Q16">
        <f t="shared" si="0"/>
        <v>-8925.3472164400009</v>
      </c>
      <c r="R16">
        <f t="shared" si="1"/>
        <v>-1937.7360350200001</v>
      </c>
      <c r="S16">
        <f t="shared" si="2"/>
        <v>-10863.083251460001</v>
      </c>
      <c r="T16">
        <v>-8925.3472164399991</v>
      </c>
      <c r="U16">
        <v>-1937.7360350199999</v>
      </c>
      <c r="V16">
        <f t="shared" si="3"/>
        <v>-10863.083251459999</v>
      </c>
      <c r="W16">
        <f t="shared" si="4"/>
        <v>0</v>
      </c>
    </row>
    <row r="17" spans="1:23" x14ac:dyDescent="0.25">
      <c r="A17" s="1">
        <v>45949.728402777779</v>
      </c>
      <c r="B17">
        <v>4</v>
      </c>
      <c r="C17" t="s">
        <v>18</v>
      </c>
      <c r="D17">
        <v>41451.360200000003</v>
      </c>
      <c r="E17">
        <v>0</v>
      </c>
      <c r="F17">
        <v>0</v>
      </c>
      <c r="G17">
        <v>5000</v>
      </c>
      <c r="H17">
        <v>2713.8093444900001</v>
      </c>
      <c r="I17">
        <v>30.72</v>
      </c>
      <c r="J17">
        <v>30.746745369999999</v>
      </c>
      <c r="K17">
        <v>0</v>
      </c>
      <c r="L17">
        <v>0</v>
      </c>
      <c r="M17">
        <v>-5602.2853515500001</v>
      </c>
      <c r="N17">
        <v>1750.37182588</v>
      </c>
      <c r="O17">
        <v>-3869.4348218599998</v>
      </c>
      <c r="P17">
        <v>-3851.9135256599998</v>
      </c>
      <c r="Q17">
        <f t="shared" si="0"/>
        <v>-10602.285351549999</v>
      </c>
      <c r="R17">
        <f t="shared" si="1"/>
        <v>-963.4375186100001</v>
      </c>
      <c r="S17">
        <f t="shared" si="2"/>
        <v>-11565.72287016</v>
      </c>
      <c r="T17">
        <v>-10602.285351549999</v>
      </c>
      <c r="U17">
        <v>-963.43751860999998</v>
      </c>
      <c r="V17">
        <f t="shared" si="3"/>
        <v>-11565.72287016</v>
      </c>
      <c r="W17">
        <f t="shared" si="4"/>
        <v>0</v>
      </c>
    </row>
    <row r="18" spans="1:23" x14ac:dyDescent="0.25">
      <c r="A18" s="1">
        <v>45949.728402777779</v>
      </c>
      <c r="B18">
        <v>4</v>
      </c>
      <c r="C18" t="s">
        <v>19</v>
      </c>
      <c r="D18">
        <v>25836.038499999999</v>
      </c>
      <c r="E18">
        <v>0.4375</v>
      </c>
      <c r="F18">
        <v>696.18600000000004</v>
      </c>
      <c r="G18">
        <v>5000</v>
      </c>
      <c r="H18">
        <v>2713.8093444900001</v>
      </c>
      <c r="I18">
        <v>13.705</v>
      </c>
      <c r="J18">
        <v>13.658252709999999</v>
      </c>
      <c r="K18">
        <v>26.103999999999999</v>
      </c>
      <c r="L18">
        <v>26.05896985</v>
      </c>
      <c r="M18">
        <v>-1079.0935821600001</v>
      </c>
      <c r="N18">
        <v>-2070.1803248000001</v>
      </c>
      <c r="O18">
        <v>-3145.4845633899999</v>
      </c>
      <c r="P18">
        <v>-3149.2739069600002</v>
      </c>
      <c r="Q18">
        <f t="shared" si="0"/>
        <v>-6079.0935821599996</v>
      </c>
      <c r="R18">
        <f t="shared" si="1"/>
        <v>-4783.9896692900002</v>
      </c>
      <c r="S18">
        <f t="shared" si="2"/>
        <v>-10863.08325145</v>
      </c>
      <c r="T18">
        <v>-5392.5777573200003</v>
      </c>
      <c r="U18">
        <v>-5470.5054941400003</v>
      </c>
      <c r="V18">
        <f t="shared" si="3"/>
        <v>-10863.083251460001</v>
      </c>
      <c r="W18">
        <f t="shared" si="4"/>
        <v>0</v>
      </c>
    </row>
    <row r="19" spans="1:23" x14ac:dyDescent="0.25">
      <c r="A19" s="1">
        <v>45949.728506944448</v>
      </c>
      <c r="B19">
        <v>5</v>
      </c>
      <c r="C19" t="s">
        <v>16</v>
      </c>
      <c r="D19">
        <v>54022.176399999997</v>
      </c>
      <c r="E19">
        <v>0</v>
      </c>
      <c r="F19">
        <v>0</v>
      </c>
      <c r="G19">
        <v>5000</v>
      </c>
      <c r="H19">
        <v>-4786.1906555100004</v>
      </c>
      <c r="I19">
        <v>32.792000000000002</v>
      </c>
      <c r="J19">
        <v>32.982065319999997</v>
      </c>
      <c r="K19">
        <v>100</v>
      </c>
      <c r="L19">
        <v>100</v>
      </c>
      <c r="M19">
        <v>-6813.4470882300002</v>
      </c>
      <c r="N19">
        <v>-6939.3613933099996</v>
      </c>
      <c r="O19">
        <v>-13759.87344179</v>
      </c>
      <c r="P19">
        <v>-13752.80848154</v>
      </c>
      <c r="Q19">
        <f t="shared" si="0"/>
        <v>-11813.447088230001</v>
      </c>
      <c r="R19">
        <f t="shared" si="1"/>
        <v>-2153.1707377999992</v>
      </c>
      <c r="S19">
        <f t="shared" si="2"/>
        <v>-13966.61782603</v>
      </c>
      <c r="T19">
        <v>-11813.447088229999</v>
      </c>
      <c r="U19">
        <v>-2153.1707378000001</v>
      </c>
      <c r="V19">
        <f t="shared" si="3"/>
        <v>-13966.61782603</v>
      </c>
      <c r="W19">
        <f t="shared" si="4"/>
        <v>0</v>
      </c>
    </row>
    <row r="20" spans="1:23" x14ac:dyDescent="0.25">
      <c r="A20" s="1">
        <v>45949.728506944448</v>
      </c>
      <c r="B20">
        <v>5</v>
      </c>
      <c r="C20" t="s">
        <v>17</v>
      </c>
      <c r="D20">
        <v>51818.830600000001</v>
      </c>
      <c r="E20">
        <v>6.2100000000000002E-2</v>
      </c>
      <c r="F20">
        <v>0</v>
      </c>
      <c r="G20">
        <v>5000</v>
      </c>
      <c r="H20">
        <v>-4786.1906555100004</v>
      </c>
      <c r="I20">
        <v>31.556000000000001</v>
      </c>
      <c r="J20">
        <v>31.85593433</v>
      </c>
      <c r="K20">
        <v>100</v>
      </c>
      <c r="L20">
        <v>100</v>
      </c>
      <c r="M20">
        <v>-6372.7480293199997</v>
      </c>
      <c r="N20">
        <v>-7135.4815410700003</v>
      </c>
      <c r="O20">
        <v>-13518.47811622</v>
      </c>
      <c r="P20">
        <v>-13508.22957039</v>
      </c>
      <c r="Q20">
        <f t="shared" si="0"/>
        <v>-11372.748029319999</v>
      </c>
      <c r="R20">
        <f t="shared" si="1"/>
        <v>-2349.2908855599999</v>
      </c>
      <c r="S20">
        <f t="shared" si="2"/>
        <v>-13722.038914879999</v>
      </c>
      <c r="T20">
        <v>-11372.748029320001</v>
      </c>
      <c r="U20">
        <v>-2349.2908855699998</v>
      </c>
      <c r="V20">
        <f t="shared" si="3"/>
        <v>-13722.038914889999</v>
      </c>
      <c r="W20">
        <f t="shared" si="4"/>
        <v>0</v>
      </c>
    </row>
    <row r="21" spans="1:23" x14ac:dyDescent="0.25">
      <c r="A21" s="1">
        <v>45949.728506944448</v>
      </c>
      <c r="B21">
        <v>5</v>
      </c>
      <c r="C21" t="s">
        <v>18</v>
      </c>
      <c r="D21">
        <v>49536.444100000001</v>
      </c>
      <c r="E21">
        <v>0</v>
      </c>
      <c r="F21">
        <v>927.96600000000001</v>
      </c>
      <c r="G21">
        <v>5000</v>
      </c>
      <c r="H21">
        <v>-4786.1906555100004</v>
      </c>
      <c r="I21">
        <v>31.34</v>
      </c>
      <c r="J21">
        <v>31.397242729999999</v>
      </c>
      <c r="K21">
        <v>100</v>
      </c>
      <c r="L21">
        <v>100</v>
      </c>
      <c r="M21">
        <v>-5756.7818065000001</v>
      </c>
      <c r="N21">
        <v>-4996.1524203500003</v>
      </c>
      <c r="O21">
        <v>-10736.37204178</v>
      </c>
      <c r="P21">
        <v>-10752.93422685</v>
      </c>
      <c r="Q21">
        <f t="shared" si="0"/>
        <v>-10756.781806499999</v>
      </c>
      <c r="R21">
        <f t="shared" si="1"/>
        <v>-209.96176483999989</v>
      </c>
      <c r="S21">
        <f t="shared" si="2"/>
        <v>-10966.743571339999</v>
      </c>
      <c r="T21">
        <v>-10756.782774130001</v>
      </c>
      <c r="U21">
        <v>-209.96079723</v>
      </c>
      <c r="V21">
        <f t="shared" si="3"/>
        <v>-10966.743571360001</v>
      </c>
      <c r="W21">
        <f t="shared" si="4"/>
        <v>0</v>
      </c>
    </row>
    <row r="22" spans="1:23" x14ac:dyDescent="0.25">
      <c r="A22" s="1">
        <v>45949.728506944448</v>
      </c>
      <c r="B22">
        <v>5</v>
      </c>
      <c r="C22" t="s">
        <v>19</v>
      </c>
      <c r="D22">
        <v>39708.579599999997</v>
      </c>
      <c r="E22">
        <v>0.2109</v>
      </c>
      <c r="F22">
        <v>1411.9568999999999</v>
      </c>
      <c r="G22">
        <v>5000</v>
      </c>
      <c r="H22">
        <v>-4786.1906555100004</v>
      </c>
      <c r="I22">
        <v>25.404</v>
      </c>
      <c r="J22">
        <v>25.37667927</v>
      </c>
      <c r="K22">
        <v>98.945999999999998</v>
      </c>
      <c r="L22">
        <v>98.917442660000006</v>
      </c>
      <c r="M22">
        <v>-3507.9851959600001</v>
      </c>
      <c r="N22">
        <v>-7141.28871101</v>
      </c>
      <c r="O22">
        <v>-10651.103783099999</v>
      </c>
      <c r="P22">
        <v>-10649.27390697</v>
      </c>
      <c r="Q22">
        <f t="shared" si="0"/>
        <v>-8507.9851959600001</v>
      </c>
      <c r="R22">
        <f t="shared" si="1"/>
        <v>-2355.0980554999996</v>
      </c>
      <c r="S22">
        <f t="shared" si="2"/>
        <v>-10863.083251460001</v>
      </c>
      <c r="T22">
        <v>-8507.9851959600001</v>
      </c>
      <c r="U22">
        <v>-2355.0980555000001</v>
      </c>
      <c r="V22">
        <f t="shared" si="3"/>
        <v>-10863.083251460001</v>
      </c>
      <c r="W22">
        <f t="shared" si="4"/>
        <v>0</v>
      </c>
    </row>
    <row r="23" spans="1:23" x14ac:dyDescent="0.25">
      <c r="A23" s="1">
        <v>45949.728703703702</v>
      </c>
      <c r="B23">
        <v>6</v>
      </c>
      <c r="C23" t="s">
        <v>16</v>
      </c>
      <c r="D23">
        <v>79163.808600000004</v>
      </c>
      <c r="E23">
        <v>0</v>
      </c>
      <c r="F23">
        <v>0</v>
      </c>
      <c r="G23">
        <v>5000</v>
      </c>
      <c r="H23">
        <v>-19786.190655509999</v>
      </c>
      <c r="I23">
        <v>38.511000000000003</v>
      </c>
      <c r="J23">
        <v>38.714933780000003</v>
      </c>
      <c r="K23">
        <v>100</v>
      </c>
      <c r="L23">
        <v>100</v>
      </c>
      <c r="M23">
        <v>-10838.48387222</v>
      </c>
      <c r="N23">
        <v>-28687.433794029999</v>
      </c>
      <c r="O23">
        <v>-39469.074573830003</v>
      </c>
      <c r="P23">
        <v>-39525.917666239999</v>
      </c>
      <c r="Q23">
        <f t="shared" si="0"/>
        <v>-15838.48387222</v>
      </c>
      <c r="R23">
        <f t="shared" si="1"/>
        <v>-8901.2431385199998</v>
      </c>
      <c r="S23">
        <f t="shared" si="2"/>
        <v>-24739.72701074</v>
      </c>
      <c r="T23">
        <v>-15838.48387222</v>
      </c>
      <c r="U23">
        <v>-8901.2431385199998</v>
      </c>
      <c r="V23">
        <f t="shared" si="3"/>
        <v>-24739.72701074</v>
      </c>
      <c r="W23">
        <f t="shared" si="4"/>
        <v>0</v>
      </c>
    </row>
    <row r="24" spans="1:23" x14ac:dyDescent="0.25">
      <c r="A24" s="1">
        <v>45949.728703703702</v>
      </c>
      <c r="B24">
        <v>6</v>
      </c>
      <c r="C24" t="s">
        <v>17</v>
      </c>
      <c r="D24">
        <v>70485.421499999997</v>
      </c>
      <c r="E24">
        <v>0.17180000000000001</v>
      </c>
      <c r="F24">
        <v>0</v>
      </c>
      <c r="G24">
        <v>5000</v>
      </c>
      <c r="H24">
        <v>-19786.190655509999</v>
      </c>
      <c r="I24">
        <v>38.1</v>
      </c>
      <c r="J24">
        <v>38.033572280000001</v>
      </c>
      <c r="K24">
        <v>100</v>
      </c>
      <c r="L24">
        <v>100</v>
      </c>
      <c r="M24">
        <v>-9906.0692980700005</v>
      </c>
      <c r="N24">
        <v>-28973.451085479999</v>
      </c>
      <c r="O24">
        <v>-38951.942721009997</v>
      </c>
      <c r="P24">
        <v>-38879.52038355</v>
      </c>
      <c r="Q24">
        <f t="shared" si="0"/>
        <v>-14906.069298070001</v>
      </c>
      <c r="R24">
        <f t="shared" si="1"/>
        <v>-9187.2604299699997</v>
      </c>
      <c r="S24">
        <f t="shared" si="2"/>
        <v>-24093.32972804</v>
      </c>
      <c r="T24">
        <v>-14906.069298070001</v>
      </c>
      <c r="U24">
        <v>-9187.2604299699997</v>
      </c>
      <c r="V24">
        <f t="shared" si="3"/>
        <v>-24093.32972804</v>
      </c>
      <c r="W24">
        <f t="shared" si="4"/>
        <v>0</v>
      </c>
    </row>
    <row r="25" spans="1:23" x14ac:dyDescent="0.25">
      <c r="A25" s="1">
        <v>45949.728703703702</v>
      </c>
      <c r="B25">
        <v>6</v>
      </c>
      <c r="C25" t="s">
        <v>18</v>
      </c>
      <c r="D25">
        <v>61945.345200000003</v>
      </c>
      <c r="E25">
        <v>0</v>
      </c>
      <c r="F25">
        <v>3561.9933999999998</v>
      </c>
      <c r="G25">
        <v>5000</v>
      </c>
      <c r="H25">
        <v>-19786.190655509999</v>
      </c>
      <c r="I25">
        <v>31.2</v>
      </c>
      <c r="J25">
        <v>31.369370709999998</v>
      </c>
      <c r="K25">
        <v>100</v>
      </c>
      <c r="L25">
        <v>100</v>
      </c>
      <c r="M25">
        <v>-5737.7950867600002</v>
      </c>
      <c r="N25">
        <v>-20497.53444069</v>
      </c>
      <c r="O25">
        <v>-26236.514967930001</v>
      </c>
      <c r="P25">
        <v>-26235.329527440001</v>
      </c>
      <c r="Q25">
        <f t="shared" si="0"/>
        <v>-10737.795086760001</v>
      </c>
      <c r="R25">
        <f t="shared" si="1"/>
        <v>-711.34378518000085</v>
      </c>
      <c r="S25">
        <f t="shared" si="2"/>
        <v>-11449.138871940002</v>
      </c>
      <c r="T25">
        <v>-10737.794700619999</v>
      </c>
      <c r="U25">
        <v>-711.34417131999999</v>
      </c>
      <c r="V25">
        <f t="shared" si="3"/>
        <v>-11449.138871939998</v>
      </c>
      <c r="W25">
        <f t="shared" si="4"/>
        <v>0</v>
      </c>
    </row>
    <row r="26" spans="1:23" x14ac:dyDescent="0.25">
      <c r="A26" s="1">
        <v>45949.728703703702</v>
      </c>
      <c r="B26">
        <v>6</v>
      </c>
      <c r="C26" t="s">
        <v>19</v>
      </c>
      <c r="D26">
        <v>46143.813000000002</v>
      </c>
      <c r="E26">
        <v>0.25140000000000001</v>
      </c>
      <c r="F26">
        <v>4204.5436</v>
      </c>
      <c r="G26">
        <v>5000</v>
      </c>
      <c r="H26">
        <v>-19786.190655509999</v>
      </c>
      <c r="I26">
        <v>23.83</v>
      </c>
      <c r="J26">
        <v>23.646950969999999</v>
      </c>
      <c r="K26">
        <v>100</v>
      </c>
      <c r="L26">
        <v>100</v>
      </c>
      <c r="M26">
        <v>-3094.8882313899999</v>
      </c>
      <c r="N26">
        <v>-22858.657691159999</v>
      </c>
      <c r="O26">
        <v>-25968.593615739999</v>
      </c>
      <c r="P26">
        <v>-25953.545922540001</v>
      </c>
      <c r="Q26">
        <f t="shared" si="0"/>
        <v>-8094.8882313899994</v>
      </c>
      <c r="R26">
        <f t="shared" si="1"/>
        <v>-3072.4670356499992</v>
      </c>
      <c r="S26">
        <f t="shared" si="2"/>
        <v>-11167.355267039999</v>
      </c>
      <c r="T26">
        <v>-8094.8830006600001</v>
      </c>
      <c r="U26">
        <v>-3072.4722663799998</v>
      </c>
      <c r="V26">
        <f t="shared" si="3"/>
        <v>-11167.35526704</v>
      </c>
      <c r="W26">
        <f t="shared" si="4"/>
        <v>0</v>
      </c>
    </row>
    <row r="27" spans="1:23" x14ac:dyDescent="0.25">
      <c r="A27" s="1">
        <v>45949.728819444441</v>
      </c>
      <c r="B27">
        <v>7</v>
      </c>
      <c r="C27" t="s">
        <v>16</v>
      </c>
      <c r="D27">
        <v>22261.088199999998</v>
      </c>
      <c r="E27">
        <v>0</v>
      </c>
      <c r="F27">
        <v>0</v>
      </c>
      <c r="G27">
        <v>5000</v>
      </c>
      <c r="H27">
        <v>14163.1089589</v>
      </c>
      <c r="I27">
        <v>0.872</v>
      </c>
      <c r="J27">
        <v>0.83136129999999997</v>
      </c>
      <c r="K27">
        <v>0</v>
      </c>
      <c r="L27">
        <v>0</v>
      </c>
      <c r="M27">
        <v>771.33010906000004</v>
      </c>
      <c r="N27">
        <v>9135.0215662200008</v>
      </c>
      <c r="O27">
        <v>9899.1216431600005</v>
      </c>
      <c r="P27">
        <v>9906.3516752800006</v>
      </c>
      <c r="Q27">
        <f t="shared" si="0"/>
        <v>-4228.6698909400002</v>
      </c>
      <c r="R27">
        <f t="shared" si="1"/>
        <v>-5028.0873926799995</v>
      </c>
      <c r="S27">
        <f t="shared" si="2"/>
        <v>-9256.7572836199997</v>
      </c>
      <c r="T27">
        <v>-4228.6698909400002</v>
      </c>
      <c r="U27">
        <v>-5028.0873926800004</v>
      </c>
      <c r="V27">
        <f t="shared" si="3"/>
        <v>-9256.7572836200015</v>
      </c>
      <c r="W27">
        <f t="shared" si="4"/>
        <v>0</v>
      </c>
    </row>
    <row r="28" spans="1:23" x14ac:dyDescent="0.25">
      <c r="A28" s="1">
        <v>45949.728819444441</v>
      </c>
      <c r="B28">
        <v>7</v>
      </c>
      <c r="C28" t="s">
        <v>17</v>
      </c>
      <c r="D28">
        <v>16106.5815</v>
      </c>
      <c r="E28">
        <v>0.58609999999999995</v>
      </c>
      <c r="F28">
        <v>0</v>
      </c>
      <c r="G28">
        <v>5000</v>
      </c>
      <c r="H28">
        <v>14163.1089589</v>
      </c>
      <c r="I28">
        <v>0</v>
      </c>
      <c r="J28">
        <v>0</v>
      </c>
      <c r="K28">
        <v>0</v>
      </c>
      <c r="L28">
        <v>0</v>
      </c>
      <c r="M28">
        <v>1344.6923329000001</v>
      </c>
      <c r="N28">
        <v>8986.0609830699996</v>
      </c>
      <c r="O28">
        <v>10363.27196057</v>
      </c>
      <c r="P28">
        <v>10330.75331597</v>
      </c>
      <c r="Q28">
        <f t="shared" si="0"/>
        <v>-3655.3076670999999</v>
      </c>
      <c r="R28">
        <f t="shared" si="1"/>
        <v>-5177.0479758300007</v>
      </c>
      <c r="S28">
        <f t="shared" si="2"/>
        <v>-8832.3556429300006</v>
      </c>
      <c r="T28">
        <v>-3655.3050535500001</v>
      </c>
      <c r="U28">
        <v>-5177.05058938</v>
      </c>
      <c r="V28">
        <f t="shared" si="3"/>
        <v>-8832.3556429300006</v>
      </c>
      <c r="W28">
        <f t="shared" si="4"/>
        <v>0</v>
      </c>
    </row>
    <row r="29" spans="1:23" x14ac:dyDescent="0.25">
      <c r="A29" s="1">
        <v>45949.728819444441</v>
      </c>
      <c r="B29">
        <v>7</v>
      </c>
      <c r="C29" t="s">
        <v>18</v>
      </c>
      <c r="D29">
        <v>22261.088199999998</v>
      </c>
      <c r="E29">
        <v>0</v>
      </c>
      <c r="F29">
        <v>0</v>
      </c>
      <c r="G29">
        <v>5000</v>
      </c>
      <c r="H29">
        <v>14163.1089589</v>
      </c>
      <c r="I29">
        <v>0.876</v>
      </c>
      <c r="J29">
        <v>0.83136129999999997</v>
      </c>
      <c r="K29">
        <v>0</v>
      </c>
      <c r="L29">
        <v>0</v>
      </c>
      <c r="M29">
        <v>771.33010906000004</v>
      </c>
      <c r="N29">
        <v>9135.0215662200008</v>
      </c>
      <c r="O29">
        <v>9913.5139850300002</v>
      </c>
      <c r="P29">
        <v>9906.3516752800006</v>
      </c>
      <c r="Q29">
        <f t="shared" si="0"/>
        <v>-4228.6698909400002</v>
      </c>
      <c r="R29">
        <f t="shared" si="1"/>
        <v>-5028.0873926799995</v>
      </c>
      <c r="S29">
        <f t="shared" si="2"/>
        <v>-9256.7572836199997</v>
      </c>
      <c r="T29">
        <v>-4228.6698909400002</v>
      </c>
      <c r="U29">
        <v>-5028.0873926800004</v>
      </c>
      <c r="V29">
        <f t="shared" si="3"/>
        <v>-9256.7572836200015</v>
      </c>
      <c r="W29">
        <f t="shared" si="4"/>
        <v>0</v>
      </c>
    </row>
    <row r="30" spans="1:23" x14ac:dyDescent="0.25">
      <c r="A30" s="1">
        <v>45949.728819444441</v>
      </c>
      <c r="B30">
        <v>7</v>
      </c>
      <c r="C30" t="s">
        <v>19</v>
      </c>
      <c r="D30">
        <v>8870.1363999999994</v>
      </c>
      <c r="E30">
        <v>0.75</v>
      </c>
      <c r="F30">
        <v>1141.0880999999999</v>
      </c>
      <c r="G30">
        <v>5000</v>
      </c>
      <c r="H30">
        <v>14163.1089589</v>
      </c>
      <c r="I30">
        <v>0</v>
      </c>
      <c r="J30">
        <v>0</v>
      </c>
      <c r="K30">
        <v>0</v>
      </c>
      <c r="L30">
        <v>0</v>
      </c>
      <c r="M30">
        <v>3457.9450835799998</v>
      </c>
      <c r="N30">
        <v>6872.8082323999997</v>
      </c>
      <c r="O30">
        <v>10306.602358030001</v>
      </c>
      <c r="P30">
        <v>10330.75331598</v>
      </c>
      <c r="Q30">
        <f t="shared" si="0"/>
        <v>-1542.0549164200002</v>
      </c>
      <c r="R30">
        <f t="shared" si="1"/>
        <v>-7290.3007265000006</v>
      </c>
      <c r="S30">
        <f t="shared" si="2"/>
        <v>-8832.3556429199998</v>
      </c>
      <c r="T30">
        <v>-1542.0549164199999</v>
      </c>
      <c r="U30">
        <v>-7290.3007265099995</v>
      </c>
      <c r="V30">
        <f t="shared" si="3"/>
        <v>-8832.3556429299988</v>
      </c>
      <c r="W30">
        <f t="shared" si="4"/>
        <v>0</v>
      </c>
    </row>
    <row r="31" spans="1:23" x14ac:dyDescent="0.25">
      <c r="A31" s="1">
        <v>45949.728912037041</v>
      </c>
      <c r="B31">
        <v>8</v>
      </c>
      <c r="C31" t="s">
        <v>16</v>
      </c>
      <c r="D31">
        <v>27261.088199999998</v>
      </c>
      <c r="E31">
        <v>0</v>
      </c>
      <c r="F31">
        <v>0</v>
      </c>
      <c r="G31">
        <v>5000</v>
      </c>
      <c r="H31">
        <v>11180.00908743</v>
      </c>
      <c r="I31">
        <v>10.601000000000001</v>
      </c>
      <c r="J31">
        <v>10.399328560000001</v>
      </c>
      <c r="K31">
        <v>0</v>
      </c>
      <c r="L31">
        <v>0</v>
      </c>
      <c r="M31">
        <v>-814.85730355999999</v>
      </c>
      <c r="N31">
        <v>7210.9608434499996</v>
      </c>
      <c r="O31">
        <v>6376.1781459599997</v>
      </c>
      <c r="P31">
        <v>6396.1035398900003</v>
      </c>
      <c r="Q31">
        <f t="shared" si="0"/>
        <v>-5814.8573035600002</v>
      </c>
      <c r="R31">
        <f t="shared" si="1"/>
        <v>-3969.0482439800007</v>
      </c>
      <c r="S31">
        <f t="shared" si="2"/>
        <v>-9783.9055475400019</v>
      </c>
      <c r="T31">
        <v>-5814.8573035600002</v>
      </c>
      <c r="U31">
        <v>-3969.0482439799998</v>
      </c>
      <c r="V31">
        <f t="shared" si="3"/>
        <v>-9783.90554754</v>
      </c>
      <c r="W31">
        <f t="shared" si="4"/>
        <v>0</v>
      </c>
    </row>
    <row r="32" spans="1:23" x14ac:dyDescent="0.25">
      <c r="A32" s="1">
        <v>45949.728912037041</v>
      </c>
      <c r="B32">
        <v>8</v>
      </c>
      <c r="C32" t="s">
        <v>17</v>
      </c>
      <c r="D32">
        <v>19079.2778</v>
      </c>
      <c r="E32">
        <v>0.52790000000000004</v>
      </c>
      <c r="F32">
        <v>0</v>
      </c>
      <c r="G32">
        <v>5000</v>
      </c>
      <c r="H32">
        <v>11180.00908743</v>
      </c>
      <c r="I32">
        <v>0.85699999999999998</v>
      </c>
      <c r="J32">
        <v>0.81548527000000004</v>
      </c>
      <c r="K32">
        <v>0</v>
      </c>
      <c r="L32">
        <v>0</v>
      </c>
      <c r="M32">
        <v>775.18976386999998</v>
      </c>
      <c r="N32">
        <v>6456.6564811799999</v>
      </c>
      <c r="O32">
        <v>7221.5879918999999</v>
      </c>
      <c r="P32">
        <v>7231.8462450500001</v>
      </c>
      <c r="Q32">
        <f t="shared" si="0"/>
        <v>-4224.8102361299998</v>
      </c>
      <c r="R32">
        <f t="shared" si="1"/>
        <v>-4723.3526062500005</v>
      </c>
      <c r="S32">
        <f t="shared" si="2"/>
        <v>-8948.1628423799993</v>
      </c>
      <c r="T32">
        <v>-4224.8150038000003</v>
      </c>
      <c r="U32">
        <v>-4723.3478385799999</v>
      </c>
      <c r="V32">
        <f t="shared" si="3"/>
        <v>-8948.1628423799993</v>
      </c>
      <c r="W32">
        <f t="shared" si="4"/>
        <v>0</v>
      </c>
    </row>
    <row r="33" spans="1:23" x14ac:dyDescent="0.25">
      <c r="A33" s="1">
        <v>45949.728912037041</v>
      </c>
      <c r="B33">
        <v>8</v>
      </c>
      <c r="C33" t="s">
        <v>18</v>
      </c>
      <c r="D33">
        <v>27261.088199999998</v>
      </c>
      <c r="E33">
        <v>0</v>
      </c>
      <c r="F33">
        <v>0</v>
      </c>
      <c r="G33">
        <v>5000</v>
      </c>
      <c r="H33">
        <v>11180.00908743</v>
      </c>
      <c r="I33">
        <v>10.505000000000001</v>
      </c>
      <c r="J33">
        <v>10.399328560000001</v>
      </c>
      <c r="K33">
        <v>0</v>
      </c>
      <c r="L33">
        <v>0</v>
      </c>
      <c r="M33">
        <v>-814.85730355999999</v>
      </c>
      <c r="N33">
        <v>7210.9608434499996</v>
      </c>
      <c r="O33">
        <v>6372.9048455499997</v>
      </c>
      <c r="P33">
        <v>6396.1035398900003</v>
      </c>
      <c r="Q33">
        <f t="shared" si="0"/>
        <v>-5814.8573035600002</v>
      </c>
      <c r="R33">
        <f t="shared" si="1"/>
        <v>-3969.0482439800007</v>
      </c>
      <c r="S33">
        <f t="shared" si="2"/>
        <v>-9783.9055475400019</v>
      </c>
      <c r="T33">
        <v>-5814.8573035600002</v>
      </c>
      <c r="U33">
        <v>-3969.0482439799998</v>
      </c>
      <c r="V33">
        <f t="shared" si="3"/>
        <v>-9783.90554754</v>
      </c>
      <c r="W33">
        <f t="shared" si="4"/>
        <v>0</v>
      </c>
    </row>
    <row r="34" spans="1:23" x14ac:dyDescent="0.25">
      <c r="A34" s="1">
        <v>45949.728912037041</v>
      </c>
      <c r="B34">
        <v>8</v>
      </c>
      <c r="C34" t="s">
        <v>19</v>
      </c>
      <c r="D34">
        <v>15005.239</v>
      </c>
      <c r="E34">
        <v>0.625</v>
      </c>
      <c r="F34">
        <v>531.31590000000006</v>
      </c>
      <c r="G34">
        <v>5000</v>
      </c>
      <c r="H34">
        <v>11180.00908743</v>
      </c>
      <c r="I34">
        <v>0</v>
      </c>
      <c r="J34">
        <v>0</v>
      </c>
      <c r="K34">
        <v>0</v>
      </c>
      <c r="L34">
        <v>0</v>
      </c>
      <c r="M34">
        <v>1885.89228641</v>
      </c>
      <c r="N34">
        <v>5345.9539586399997</v>
      </c>
      <c r="O34">
        <v>7217.2059520000003</v>
      </c>
      <c r="P34">
        <v>7231.84624506</v>
      </c>
      <c r="Q34">
        <f t="shared" si="0"/>
        <v>-3114.10771359</v>
      </c>
      <c r="R34">
        <f t="shared" si="1"/>
        <v>-5834.0551287900007</v>
      </c>
      <c r="S34">
        <f t="shared" si="2"/>
        <v>-8948.1628423800012</v>
      </c>
      <c r="T34">
        <v>-2042.19896182</v>
      </c>
      <c r="U34">
        <v>-6905.9638805499999</v>
      </c>
      <c r="V34">
        <f t="shared" si="3"/>
        <v>-8948.1628423700004</v>
      </c>
      <c r="W34">
        <f t="shared" si="4"/>
        <v>0</v>
      </c>
    </row>
    <row r="35" spans="1:23" x14ac:dyDescent="0.25">
      <c r="A35" s="1">
        <v>45949.728993055556</v>
      </c>
      <c r="B35">
        <v>9</v>
      </c>
      <c r="C35" t="s">
        <v>16</v>
      </c>
      <c r="D35">
        <v>47261.088199999998</v>
      </c>
      <c r="E35">
        <v>0</v>
      </c>
      <c r="F35">
        <v>0</v>
      </c>
      <c r="G35">
        <v>5000</v>
      </c>
      <c r="H35">
        <v>-752.39039844000001</v>
      </c>
      <c r="I35">
        <v>36.707000000000001</v>
      </c>
      <c r="J35">
        <v>36.780744230000003</v>
      </c>
      <c r="K35">
        <v>100</v>
      </c>
      <c r="L35">
        <v>100</v>
      </c>
      <c r="M35">
        <v>-10592.483888049999</v>
      </c>
      <c r="N35">
        <v>-1090.8693906000001</v>
      </c>
      <c r="O35">
        <v>-11683.27602445</v>
      </c>
      <c r="P35">
        <v>-11683.35327865</v>
      </c>
      <c r="Q35">
        <f t="shared" si="0"/>
        <v>-15592.483888049999</v>
      </c>
      <c r="R35">
        <f t="shared" si="1"/>
        <v>-338.47899216000008</v>
      </c>
      <c r="S35">
        <f t="shared" si="2"/>
        <v>-15930.96288021</v>
      </c>
      <c r="T35">
        <v>-15592.483888049999</v>
      </c>
      <c r="U35">
        <v>-338.47899215000001</v>
      </c>
      <c r="V35">
        <f t="shared" si="3"/>
        <v>-15930.962880199999</v>
      </c>
      <c r="W35">
        <f t="shared" si="4"/>
        <v>0</v>
      </c>
    </row>
    <row r="36" spans="1:23" x14ac:dyDescent="0.25">
      <c r="A36" s="1">
        <v>45949.728993055556</v>
      </c>
      <c r="B36">
        <v>9</v>
      </c>
      <c r="C36" t="s">
        <v>17</v>
      </c>
      <c r="D36">
        <v>46170.130499999999</v>
      </c>
      <c r="E36">
        <v>3.0700000000000002E-2</v>
      </c>
      <c r="F36">
        <v>0</v>
      </c>
      <c r="G36">
        <v>5000</v>
      </c>
      <c r="H36">
        <v>-752.39039844000001</v>
      </c>
      <c r="I36">
        <v>36.286000000000001</v>
      </c>
      <c r="J36">
        <v>36.361620449999997</v>
      </c>
      <c r="K36">
        <v>100</v>
      </c>
      <c r="L36">
        <v>100</v>
      </c>
      <c r="M36">
        <v>-10104.480787050001</v>
      </c>
      <c r="N36">
        <v>-1471.2797957400001</v>
      </c>
      <c r="O36">
        <v>-11602.70344571</v>
      </c>
      <c r="P36">
        <v>-11575.760582790001</v>
      </c>
      <c r="Q36">
        <f t="shared" si="0"/>
        <v>-15104.480787050001</v>
      </c>
      <c r="R36">
        <f t="shared" si="1"/>
        <v>-718.88939730000004</v>
      </c>
      <c r="S36">
        <f t="shared" si="2"/>
        <v>-15823.37018435</v>
      </c>
      <c r="T36">
        <v>-15104.480787050001</v>
      </c>
      <c r="U36">
        <v>-718.88939729000003</v>
      </c>
      <c r="V36">
        <f t="shared" si="3"/>
        <v>-15823.370184340001</v>
      </c>
      <c r="W36">
        <f t="shared" si="4"/>
        <v>0</v>
      </c>
    </row>
    <row r="37" spans="1:23" x14ac:dyDescent="0.25">
      <c r="A37" s="1">
        <v>45949.728993055556</v>
      </c>
      <c r="B37">
        <v>9</v>
      </c>
      <c r="C37" t="s">
        <v>18</v>
      </c>
      <c r="D37">
        <v>46673.758099999999</v>
      </c>
      <c r="E37">
        <v>0</v>
      </c>
      <c r="F37">
        <v>121.5013</v>
      </c>
      <c r="G37">
        <v>5000</v>
      </c>
      <c r="H37">
        <v>-752.39039844000001</v>
      </c>
      <c r="I37">
        <v>36.418999999999997</v>
      </c>
      <c r="J37">
        <v>36.643579600000002</v>
      </c>
      <c r="K37">
        <v>100</v>
      </c>
      <c r="L37">
        <v>100</v>
      </c>
      <c r="M37">
        <v>-10615.45760607</v>
      </c>
      <c r="N37">
        <v>-778.04507865999994</v>
      </c>
      <c r="O37">
        <v>-11426.005385590001</v>
      </c>
      <c r="P37">
        <v>-11393.50268473</v>
      </c>
      <c r="Q37">
        <f t="shared" si="0"/>
        <v>-15615.45760607</v>
      </c>
      <c r="R37">
        <f t="shared" si="1"/>
        <v>-25.654680219999932</v>
      </c>
      <c r="S37">
        <f t="shared" si="2"/>
        <v>-15641.112286289999</v>
      </c>
      <c r="T37">
        <v>-15615.45760607</v>
      </c>
      <c r="U37">
        <v>-25.654680209999999</v>
      </c>
      <c r="V37">
        <f t="shared" si="3"/>
        <v>-15641.11228628</v>
      </c>
      <c r="W37">
        <f t="shared" si="4"/>
        <v>0</v>
      </c>
    </row>
    <row r="38" spans="1:23" x14ac:dyDescent="0.25">
      <c r="A38" s="1">
        <v>45949.728993055556</v>
      </c>
      <c r="B38">
        <v>9</v>
      </c>
      <c r="C38" t="s">
        <v>19</v>
      </c>
      <c r="D38">
        <v>24869.409100000001</v>
      </c>
      <c r="E38">
        <v>0.5</v>
      </c>
      <c r="F38">
        <v>960.22680000000003</v>
      </c>
      <c r="G38">
        <v>5000</v>
      </c>
      <c r="H38">
        <v>-752.39039844000001</v>
      </c>
      <c r="I38">
        <v>21.210999999999999</v>
      </c>
      <c r="J38">
        <v>21.393459870000001</v>
      </c>
      <c r="K38">
        <v>56.448999999999998</v>
      </c>
      <c r="L38">
        <v>56.442903790000003</v>
      </c>
      <c r="M38">
        <v>-2759.3550900099999</v>
      </c>
      <c r="N38">
        <v>-8619.2127050100007</v>
      </c>
      <c r="O38">
        <v>-11358.6835926</v>
      </c>
      <c r="P38">
        <v>-11378.567795020001</v>
      </c>
      <c r="Q38">
        <f t="shared" si="0"/>
        <v>-7759.3550900099999</v>
      </c>
      <c r="R38">
        <f t="shared" si="1"/>
        <v>-7866.8223065700004</v>
      </c>
      <c r="S38">
        <f t="shared" si="2"/>
        <v>-15626.17739658</v>
      </c>
      <c r="T38">
        <v>-7759.3550900099999</v>
      </c>
      <c r="U38">
        <v>-7866.8223065700004</v>
      </c>
      <c r="V38">
        <f t="shared" si="3"/>
        <v>-15626.17739658</v>
      </c>
      <c r="W38">
        <f t="shared" si="4"/>
        <v>0</v>
      </c>
    </row>
    <row r="39" spans="1:23" x14ac:dyDescent="0.25">
      <c r="A39" s="1">
        <v>45949.729050925926</v>
      </c>
      <c r="B39">
        <v>10</v>
      </c>
      <c r="C39" t="s">
        <v>16</v>
      </c>
      <c r="D39">
        <v>57261.088199999998</v>
      </c>
      <c r="E39">
        <v>0</v>
      </c>
      <c r="F39">
        <v>0</v>
      </c>
      <c r="G39">
        <v>5000</v>
      </c>
      <c r="H39">
        <v>-6718.5901413800002</v>
      </c>
      <c r="I39">
        <v>39.951000000000001</v>
      </c>
      <c r="J39">
        <v>40.127391260000003</v>
      </c>
      <c r="K39">
        <v>100</v>
      </c>
      <c r="L39">
        <v>100</v>
      </c>
      <c r="M39">
        <v>-16106.79653645</v>
      </c>
      <c r="N39">
        <v>-9741.0923217100008</v>
      </c>
      <c r="O39">
        <v>-25865.77547873</v>
      </c>
      <c r="P39">
        <v>-25847.88885816</v>
      </c>
      <c r="Q39">
        <f t="shared" si="0"/>
        <v>-21106.796536449998</v>
      </c>
      <c r="R39">
        <f t="shared" si="1"/>
        <v>-3022.5021803300006</v>
      </c>
      <c r="S39">
        <f t="shared" si="2"/>
        <v>-24129.298716779998</v>
      </c>
      <c r="T39">
        <v>-21106.796536450001</v>
      </c>
      <c r="U39">
        <v>-3022.5021803300001</v>
      </c>
      <c r="V39">
        <f t="shared" si="3"/>
        <v>-24129.298716780002</v>
      </c>
      <c r="W39">
        <f t="shared" si="4"/>
        <v>0</v>
      </c>
    </row>
    <row r="40" spans="1:23" x14ac:dyDescent="0.25">
      <c r="A40" s="1">
        <v>45949.729050925926</v>
      </c>
      <c r="B40">
        <v>10</v>
      </c>
      <c r="C40" t="s">
        <v>17</v>
      </c>
      <c r="D40">
        <v>46635.167399999998</v>
      </c>
      <c r="E40">
        <v>0.23350000000000001</v>
      </c>
      <c r="F40">
        <v>0</v>
      </c>
      <c r="G40">
        <v>5000</v>
      </c>
      <c r="H40">
        <v>-6718.5901413800002</v>
      </c>
      <c r="I40">
        <v>37.03</v>
      </c>
      <c r="J40">
        <v>37.11926716</v>
      </c>
      <c r="K40">
        <v>100</v>
      </c>
      <c r="L40">
        <v>100</v>
      </c>
      <c r="M40">
        <v>-11012.15564979</v>
      </c>
      <c r="N40">
        <v>-13747.509601919999</v>
      </c>
      <c r="O40">
        <v>-24791.313490280001</v>
      </c>
      <c r="P40">
        <v>-24759.665251710001</v>
      </c>
      <c r="Q40">
        <f t="shared" si="0"/>
        <v>-16012.15564979</v>
      </c>
      <c r="R40">
        <f t="shared" si="1"/>
        <v>-7028.9194605399989</v>
      </c>
      <c r="S40">
        <f t="shared" si="2"/>
        <v>-23041.075110329999</v>
      </c>
      <c r="T40">
        <v>-16012.15564979</v>
      </c>
      <c r="U40">
        <v>-7028.9194605299999</v>
      </c>
      <c r="V40">
        <f t="shared" si="3"/>
        <v>-23041.075110320002</v>
      </c>
      <c r="W40">
        <f t="shared" si="4"/>
        <v>0</v>
      </c>
    </row>
    <row r="41" spans="1:23" x14ac:dyDescent="0.25">
      <c r="A41" s="1">
        <v>45949.729050925926</v>
      </c>
      <c r="B41">
        <v>10</v>
      </c>
      <c r="C41" t="s">
        <v>18</v>
      </c>
      <c r="D41">
        <v>52451.046999999999</v>
      </c>
      <c r="E41">
        <v>0</v>
      </c>
      <c r="F41">
        <v>995.05600000000004</v>
      </c>
      <c r="G41">
        <v>5000</v>
      </c>
      <c r="H41">
        <v>-6718.5901413800002</v>
      </c>
      <c r="I41">
        <v>39.46</v>
      </c>
      <c r="J41">
        <v>39.288446010000001</v>
      </c>
      <c r="K41">
        <v>100</v>
      </c>
      <c r="L41">
        <v>100</v>
      </c>
      <c r="M41">
        <v>-16825.328515149999</v>
      </c>
      <c r="N41">
        <v>-6998.4286995399998</v>
      </c>
      <c r="O41">
        <v>-23950.655499500001</v>
      </c>
      <c r="P41">
        <v>-23823.757214680001</v>
      </c>
      <c r="Q41">
        <f t="shared" si="0"/>
        <v>-21825.328515149999</v>
      </c>
      <c r="R41">
        <f t="shared" si="1"/>
        <v>-279.83855815999959</v>
      </c>
      <c r="S41">
        <f t="shared" si="2"/>
        <v>-22105.167073309996</v>
      </c>
      <c r="T41">
        <v>-21825.32786388</v>
      </c>
      <c r="U41">
        <v>-279.83920941999997</v>
      </c>
      <c r="V41">
        <f t="shared" si="3"/>
        <v>-22105.167073299999</v>
      </c>
      <c r="W41">
        <f t="shared" si="4"/>
        <v>0</v>
      </c>
    </row>
    <row r="42" spans="1:23" x14ac:dyDescent="0.25">
      <c r="A42" s="1">
        <v>45949.729050925926</v>
      </c>
      <c r="B42">
        <v>10</v>
      </c>
      <c r="C42" t="s">
        <v>19</v>
      </c>
      <c r="D42">
        <v>28121.4977</v>
      </c>
      <c r="E42">
        <v>0.5</v>
      </c>
      <c r="F42">
        <v>1321.8182999999999</v>
      </c>
      <c r="G42">
        <v>5000</v>
      </c>
      <c r="H42">
        <v>-6718.5901413800002</v>
      </c>
      <c r="I42">
        <v>27.931000000000001</v>
      </c>
      <c r="J42">
        <v>28.025896580000001</v>
      </c>
      <c r="K42">
        <v>80.534000000000006</v>
      </c>
      <c r="L42">
        <v>80.737969949999993</v>
      </c>
      <c r="M42">
        <v>-5835.1453616999997</v>
      </c>
      <c r="N42">
        <v>-17918.562309450001</v>
      </c>
      <c r="O42">
        <v>-23746.55142951</v>
      </c>
      <c r="P42">
        <v>-23753.707671150001</v>
      </c>
      <c r="Q42">
        <f t="shared" si="0"/>
        <v>-10835.145361700001</v>
      </c>
      <c r="R42">
        <f t="shared" si="1"/>
        <v>-11199.97216807</v>
      </c>
      <c r="S42">
        <f t="shared" si="2"/>
        <v>-22035.117529770003</v>
      </c>
      <c r="T42">
        <v>-10835.145361700001</v>
      </c>
      <c r="U42">
        <v>-11199.97216807</v>
      </c>
      <c r="V42">
        <f t="shared" si="3"/>
        <v>-22035.117529770003</v>
      </c>
      <c r="W42">
        <f t="shared" si="4"/>
        <v>0</v>
      </c>
    </row>
    <row r="43" spans="1:23" x14ac:dyDescent="0.25">
      <c r="A43" s="1">
        <v>45949.72923611111</v>
      </c>
      <c r="B43">
        <v>11</v>
      </c>
      <c r="C43" t="s">
        <v>16</v>
      </c>
      <c r="D43">
        <v>67261.088199999998</v>
      </c>
      <c r="E43">
        <v>0</v>
      </c>
      <c r="F43">
        <v>0</v>
      </c>
      <c r="G43">
        <v>5000</v>
      </c>
      <c r="H43">
        <v>-12684.78988432</v>
      </c>
      <c r="I43">
        <v>41.884999999999998</v>
      </c>
      <c r="J43">
        <v>42.121857679999998</v>
      </c>
      <c r="K43">
        <v>100</v>
      </c>
      <c r="L43">
        <v>100</v>
      </c>
      <c r="M43">
        <v>-21731.560667829999</v>
      </c>
      <c r="N43">
        <v>-18391.31525281</v>
      </c>
      <c r="O43">
        <v>-40065.658067750002</v>
      </c>
      <c r="P43">
        <v>-40122.875920639999</v>
      </c>
      <c r="Q43">
        <f t="shared" si="0"/>
        <v>-26731.560667829999</v>
      </c>
      <c r="R43">
        <f t="shared" si="1"/>
        <v>-5706.5253684899999</v>
      </c>
      <c r="S43">
        <f t="shared" si="2"/>
        <v>-32438.086036319997</v>
      </c>
      <c r="T43">
        <v>-26731.560667829999</v>
      </c>
      <c r="U43">
        <v>-5706.5253684899999</v>
      </c>
      <c r="V43">
        <f t="shared" si="3"/>
        <v>-32438.086036319997</v>
      </c>
      <c r="W43">
        <f t="shared" si="4"/>
        <v>0</v>
      </c>
    </row>
    <row r="44" spans="1:23" x14ac:dyDescent="0.25">
      <c r="A44" s="1">
        <v>45949.72923611111</v>
      </c>
      <c r="B44">
        <v>11</v>
      </c>
      <c r="C44" t="s">
        <v>17</v>
      </c>
      <c r="D44">
        <v>46600.176599999999</v>
      </c>
      <c r="E44">
        <v>0.37230000000000002</v>
      </c>
      <c r="F44">
        <v>0</v>
      </c>
      <c r="G44">
        <v>5000</v>
      </c>
      <c r="H44">
        <v>-12684.78988432</v>
      </c>
      <c r="I44">
        <v>37.408999999999999</v>
      </c>
      <c r="J44">
        <v>37.449818049999998</v>
      </c>
      <c r="K44">
        <v>100</v>
      </c>
      <c r="L44">
        <v>100</v>
      </c>
      <c r="M44">
        <v>-11445.75011099</v>
      </c>
      <c r="N44">
        <v>-26505.193688359999</v>
      </c>
      <c r="O44">
        <v>-37990.221478560001</v>
      </c>
      <c r="P44">
        <v>-37950.943799350003</v>
      </c>
      <c r="Q44">
        <f t="shared" si="0"/>
        <v>-16445.75011099</v>
      </c>
      <c r="R44">
        <f t="shared" si="1"/>
        <v>-13820.403804039999</v>
      </c>
      <c r="S44">
        <f t="shared" si="2"/>
        <v>-30266.153915030001</v>
      </c>
      <c r="T44">
        <v>-16445.756541819999</v>
      </c>
      <c r="U44">
        <v>-13820.397373199999</v>
      </c>
      <c r="V44">
        <f t="shared" si="3"/>
        <v>-30266.153915019997</v>
      </c>
      <c r="W44">
        <f t="shared" si="4"/>
        <v>0</v>
      </c>
    </row>
    <row r="45" spans="1:23" x14ac:dyDescent="0.25">
      <c r="A45" s="1">
        <v>45949.72923611111</v>
      </c>
      <c r="B45">
        <v>11</v>
      </c>
      <c r="C45" t="s">
        <v>18</v>
      </c>
      <c r="D45">
        <v>58414.594799999999</v>
      </c>
      <c r="E45">
        <v>0</v>
      </c>
      <c r="F45">
        <v>1830.0791999999999</v>
      </c>
      <c r="G45">
        <v>5000</v>
      </c>
      <c r="H45">
        <v>-12684.78988432</v>
      </c>
      <c r="I45">
        <v>40.878</v>
      </c>
      <c r="J45">
        <v>40.890603050000003</v>
      </c>
      <c r="K45">
        <v>100</v>
      </c>
      <c r="L45">
        <v>100</v>
      </c>
      <c r="M45">
        <v>-23443.341750889998</v>
      </c>
      <c r="N45">
        <v>-13264.018798180001</v>
      </c>
      <c r="O45">
        <v>-36753.626454899997</v>
      </c>
      <c r="P45">
        <v>-36707.360549060002</v>
      </c>
      <c r="Q45">
        <f t="shared" si="0"/>
        <v>-28443.341750889998</v>
      </c>
      <c r="R45">
        <f t="shared" si="1"/>
        <v>-579.22891386000083</v>
      </c>
      <c r="S45">
        <f t="shared" si="2"/>
        <v>-29022.570664749997</v>
      </c>
      <c r="T45">
        <v>-28443.341750889998</v>
      </c>
      <c r="U45">
        <v>-579.22891386000003</v>
      </c>
      <c r="V45">
        <f t="shared" si="3"/>
        <v>-29022.570664749997</v>
      </c>
      <c r="W45">
        <f t="shared" si="4"/>
        <v>0</v>
      </c>
    </row>
    <row r="46" spans="1:23" x14ac:dyDescent="0.25">
      <c r="A46" s="1">
        <v>45949.72923611111</v>
      </c>
      <c r="B46">
        <v>11</v>
      </c>
      <c r="C46" t="s">
        <v>19</v>
      </c>
      <c r="D46">
        <v>17762.21</v>
      </c>
      <c r="E46">
        <v>0.75</v>
      </c>
      <c r="F46">
        <v>1628.8737000000001</v>
      </c>
      <c r="G46">
        <v>5000</v>
      </c>
      <c r="H46">
        <v>-12684.78988432</v>
      </c>
      <c r="I46">
        <v>14.259</v>
      </c>
      <c r="J46">
        <v>14.103886360000001</v>
      </c>
      <c r="K46">
        <v>80.227000000000004</v>
      </c>
      <c r="L46">
        <v>80.09564365</v>
      </c>
      <c r="M46">
        <v>-1934.57313542</v>
      </c>
      <c r="N46">
        <v>-34670.488580259997</v>
      </c>
      <c r="O46">
        <v>-36785.826356040001</v>
      </c>
      <c r="P46">
        <v>-36605.061715670003</v>
      </c>
      <c r="Q46">
        <f t="shared" si="0"/>
        <v>-6934.5731354199997</v>
      </c>
      <c r="R46">
        <f t="shared" si="1"/>
        <v>-21985.698695939995</v>
      </c>
      <c r="S46">
        <f t="shared" si="2"/>
        <v>-28920.271831359994</v>
      </c>
      <c r="T46">
        <v>-6934.5731354199997</v>
      </c>
      <c r="U46">
        <v>-21985.698695930001</v>
      </c>
      <c r="V46">
        <f t="shared" si="3"/>
        <v>-28920.271831350001</v>
      </c>
      <c r="W46">
        <f t="shared" si="4"/>
        <v>0</v>
      </c>
    </row>
    <row r="47" spans="1:23" x14ac:dyDescent="0.25">
      <c r="A47" s="1">
        <v>45949.72929398148</v>
      </c>
      <c r="B47">
        <v>12</v>
      </c>
      <c r="C47" t="s">
        <v>16</v>
      </c>
      <c r="D47">
        <v>32693.694599999999</v>
      </c>
      <c r="E47">
        <v>0</v>
      </c>
      <c r="F47">
        <v>0</v>
      </c>
      <c r="G47">
        <v>5000</v>
      </c>
      <c r="H47">
        <v>10912.44766267</v>
      </c>
      <c r="I47">
        <v>34.304000000000002</v>
      </c>
      <c r="J47">
        <v>34.419237549999998</v>
      </c>
      <c r="K47">
        <v>0</v>
      </c>
      <c r="L47">
        <v>0</v>
      </c>
      <c r="M47">
        <v>-9378.07152408</v>
      </c>
      <c r="N47">
        <v>9956.6235548000004</v>
      </c>
      <c r="O47">
        <v>602.59197506999999</v>
      </c>
      <c r="P47">
        <v>578.55203071999995</v>
      </c>
      <c r="Q47">
        <f t="shared" si="0"/>
        <v>-14378.07152408</v>
      </c>
      <c r="R47">
        <f t="shared" si="1"/>
        <v>-955.82410786999935</v>
      </c>
      <c r="S47">
        <f t="shared" si="2"/>
        <v>-15333.895631949999</v>
      </c>
      <c r="T47">
        <v>-14378.07152408</v>
      </c>
      <c r="U47">
        <v>-955.82410787000003</v>
      </c>
      <c r="V47">
        <f t="shared" si="3"/>
        <v>-15333.895631949999</v>
      </c>
      <c r="W47">
        <f t="shared" si="4"/>
        <v>0</v>
      </c>
    </row>
    <row r="48" spans="1:23" x14ac:dyDescent="0.25">
      <c r="A48" s="1">
        <v>45949.72929398148</v>
      </c>
      <c r="B48">
        <v>12</v>
      </c>
      <c r="C48" t="s">
        <v>17</v>
      </c>
      <c r="D48">
        <v>19943.694599999999</v>
      </c>
      <c r="E48">
        <v>0.5</v>
      </c>
      <c r="F48">
        <v>0</v>
      </c>
      <c r="G48">
        <v>5000</v>
      </c>
      <c r="H48">
        <v>10912.44766267</v>
      </c>
      <c r="I48">
        <v>18.978999999999999</v>
      </c>
      <c r="J48">
        <v>18.8384751</v>
      </c>
      <c r="K48">
        <v>0</v>
      </c>
      <c r="L48">
        <v>0</v>
      </c>
      <c r="M48">
        <v>-2205.66914821</v>
      </c>
      <c r="N48">
        <v>3703.74309558</v>
      </c>
      <c r="O48">
        <v>1472.5147608100001</v>
      </c>
      <c r="P48">
        <v>1498.07394737</v>
      </c>
      <c r="Q48">
        <f t="shared" si="0"/>
        <v>-7205.6691482099995</v>
      </c>
      <c r="R48">
        <f t="shared" si="1"/>
        <v>-7208.7045670899997</v>
      </c>
      <c r="S48">
        <f t="shared" si="2"/>
        <v>-14414.3737153</v>
      </c>
      <c r="T48">
        <v>-7205.6691482099995</v>
      </c>
      <c r="U48">
        <v>-7208.7045670799998</v>
      </c>
      <c r="V48">
        <f t="shared" si="3"/>
        <v>-14414.373715289999</v>
      </c>
      <c r="W48">
        <f t="shared" si="4"/>
        <v>0</v>
      </c>
    </row>
    <row r="49" spans="1:23" x14ac:dyDescent="0.25">
      <c r="A49" s="1">
        <v>45949.72929398148</v>
      </c>
      <c r="B49">
        <v>12</v>
      </c>
      <c r="C49" t="s">
        <v>18</v>
      </c>
      <c r="D49">
        <v>32693.694599999999</v>
      </c>
      <c r="E49">
        <v>0</v>
      </c>
      <c r="F49">
        <v>0</v>
      </c>
      <c r="G49">
        <v>5000</v>
      </c>
      <c r="H49">
        <v>10912.44766267</v>
      </c>
      <c r="I49">
        <v>34.499000000000002</v>
      </c>
      <c r="J49">
        <v>34.419237549999998</v>
      </c>
      <c r="K49">
        <v>0</v>
      </c>
      <c r="L49">
        <v>0</v>
      </c>
      <c r="M49">
        <v>-9378.07152408</v>
      </c>
      <c r="N49">
        <v>9956.6235548000004</v>
      </c>
      <c r="O49">
        <v>569.11860443</v>
      </c>
      <c r="P49">
        <v>578.55203071999995</v>
      </c>
      <c r="Q49">
        <f t="shared" si="0"/>
        <v>-14378.07152408</v>
      </c>
      <c r="R49">
        <f t="shared" si="1"/>
        <v>-955.82410786999935</v>
      </c>
      <c r="S49">
        <f t="shared" si="2"/>
        <v>-15333.895631949999</v>
      </c>
      <c r="T49">
        <v>-14378.07152408</v>
      </c>
      <c r="U49">
        <v>-955.82410787000003</v>
      </c>
      <c r="V49">
        <f t="shared" si="3"/>
        <v>-15333.895631949999</v>
      </c>
      <c r="W49">
        <f t="shared" si="4"/>
        <v>0</v>
      </c>
    </row>
    <row r="50" spans="1:23" x14ac:dyDescent="0.25">
      <c r="A50" s="1">
        <v>45949.72929398148</v>
      </c>
      <c r="B50">
        <v>12</v>
      </c>
      <c r="C50" t="s">
        <v>19</v>
      </c>
      <c r="D50">
        <v>19435.7536</v>
      </c>
      <c r="E50">
        <v>0.5</v>
      </c>
      <c r="F50">
        <v>258.2722</v>
      </c>
      <c r="G50">
        <v>5000</v>
      </c>
      <c r="H50">
        <v>10912.44766267</v>
      </c>
      <c r="I50">
        <v>19.010000000000002</v>
      </c>
      <c r="J50">
        <v>18.794355419999999</v>
      </c>
      <c r="K50">
        <v>0</v>
      </c>
      <c r="L50">
        <v>0</v>
      </c>
      <c r="M50">
        <v>-2198.6370569000001</v>
      </c>
      <c r="N50">
        <v>3696.71100428</v>
      </c>
      <c r="O50">
        <v>1505.9098368299999</v>
      </c>
      <c r="P50">
        <v>1498.0739473799999</v>
      </c>
      <c r="Q50">
        <f t="shared" si="0"/>
        <v>-7198.6370569000001</v>
      </c>
      <c r="R50">
        <f t="shared" si="1"/>
        <v>-7215.7366583900002</v>
      </c>
      <c r="S50">
        <f t="shared" si="2"/>
        <v>-14414.373715289999</v>
      </c>
      <c r="T50">
        <v>-7198.6370569000001</v>
      </c>
      <c r="U50">
        <v>-7215.7366583800003</v>
      </c>
      <c r="V50">
        <f t="shared" si="3"/>
        <v>-14414.37371528</v>
      </c>
      <c r="W50">
        <f t="shared" si="4"/>
        <v>0</v>
      </c>
    </row>
    <row r="51" spans="1:23" x14ac:dyDescent="0.25">
      <c r="A51" s="1">
        <v>45949.729351851849</v>
      </c>
      <c r="B51">
        <v>13</v>
      </c>
      <c r="C51" t="s">
        <v>16</v>
      </c>
      <c r="D51">
        <v>34543.926700000004</v>
      </c>
      <c r="E51">
        <v>0</v>
      </c>
      <c r="F51">
        <v>0</v>
      </c>
      <c r="G51">
        <v>5000</v>
      </c>
      <c r="H51">
        <v>8157.3148790400001</v>
      </c>
      <c r="I51">
        <v>32.353000000000002</v>
      </c>
      <c r="J51">
        <v>32.373210460000003</v>
      </c>
      <c r="K51">
        <v>0</v>
      </c>
      <c r="L51">
        <v>0</v>
      </c>
      <c r="M51">
        <v>-7445.1381642099996</v>
      </c>
      <c r="N51">
        <v>6446.3881994599997</v>
      </c>
      <c r="O51">
        <v>-1011.39041366</v>
      </c>
      <c r="P51">
        <v>-998.74996475</v>
      </c>
      <c r="Q51">
        <f t="shared" si="0"/>
        <v>-12445.138164209999</v>
      </c>
      <c r="R51">
        <f t="shared" si="1"/>
        <v>-1710.9266795800004</v>
      </c>
      <c r="S51">
        <f t="shared" si="2"/>
        <v>-14156.064843789998</v>
      </c>
      <c r="T51">
        <v>-12445.13816421</v>
      </c>
      <c r="U51">
        <v>-1710.9266795799999</v>
      </c>
      <c r="V51">
        <f t="shared" si="3"/>
        <v>-14156.06484379</v>
      </c>
      <c r="W51">
        <f t="shared" si="4"/>
        <v>0</v>
      </c>
    </row>
    <row r="52" spans="1:23" x14ac:dyDescent="0.25">
      <c r="A52" s="1">
        <v>45949.729351851849</v>
      </c>
      <c r="B52">
        <v>13</v>
      </c>
      <c r="C52" t="s">
        <v>17</v>
      </c>
      <c r="D52">
        <v>22989.2392</v>
      </c>
      <c r="E52">
        <v>0.4531</v>
      </c>
      <c r="F52">
        <v>0</v>
      </c>
      <c r="G52">
        <v>5000</v>
      </c>
      <c r="H52">
        <v>8157.3148790400001</v>
      </c>
      <c r="I52">
        <v>17.808</v>
      </c>
      <c r="J52">
        <v>17.768156279999999</v>
      </c>
      <c r="K52">
        <v>0</v>
      </c>
      <c r="L52">
        <v>0</v>
      </c>
      <c r="M52">
        <v>-1899.1675670699999</v>
      </c>
      <c r="N52">
        <v>2443.5036311700001</v>
      </c>
      <c r="O52">
        <v>540.09281691000001</v>
      </c>
      <c r="P52">
        <v>544.33606411000005</v>
      </c>
      <c r="Q52">
        <f t="shared" si="0"/>
        <v>-6899.1675670699997</v>
      </c>
      <c r="R52">
        <f t="shared" si="1"/>
        <v>-5713.8112478700004</v>
      </c>
      <c r="S52">
        <f t="shared" si="2"/>
        <v>-12612.978814940001</v>
      </c>
      <c r="T52">
        <v>-6899.1675670699997</v>
      </c>
      <c r="U52">
        <v>-5713.8112478599996</v>
      </c>
      <c r="V52">
        <f t="shared" si="3"/>
        <v>-12612.97881493</v>
      </c>
      <c r="W52">
        <f t="shared" si="4"/>
        <v>0</v>
      </c>
    </row>
    <row r="53" spans="1:23" x14ac:dyDescent="0.25">
      <c r="A53" s="1">
        <v>45949.729351851849</v>
      </c>
      <c r="B53">
        <v>13</v>
      </c>
      <c r="C53" t="s">
        <v>18</v>
      </c>
      <c r="D53">
        <v>34543.926700000004</v>
      </c>
      <c r="E53">
        <v>0</v>
      </c>
      <c r="F53">
        <v>0</v>
      </c>
      <c r="G53">
        <v>5000</v>
      </c>
      <c r="H53">
        <v>8157.3148790400001</v>
      </c>
      <c r="I53">
        <v>32.494</v>
      </c>
      <c r="J53">
        <v>32.373210460000003</v>
      </c>
      <c r="K53">
        <v>0</v>
      </c>
      <c r="L53">
        <v>0</v>
      </c>
      <c r="M53">
        <v>-7445.1381642099996</v>
      </c>
      <c r="N53">
        <v>6446.3881994599997</v>
      </c>
      <c r="O53">
        <v>-988.58251553000002</v>
      </c>
      <c r="P53">
        <v>-998.74996475</v>
      </c>
      <c r="Q53">
        <f t="shared" si="0"/>
        <v>-12445.138164209999</v>
      </c>
      <c r="R53">
        <f t="shared" si="1"/>
        <v>-1710.9266795800004</v>
      </c>
      <c r="S53">
        <f t="shared" si="2"/>
        <v>-14156.064843789998</v>
      </c>
      <c r="T53">
        <v>-12445.13816421</v>
      </c>
      <c r="U53">
        <v>-1710.9266795799999</v>
      </c>
      <c r="V53">
        <f t="shared" si="3"/>
        <v>-14156.06484379</v>
      </c>
      <c r="W53">
        <f t="shared" si="4"/>
        <v>0</v>
      </c>
    </row>
    <row r="54" spans="1:23" x14ac:dyDescent="0.25">
      <c r="A54" s="1">
        <v>45949.729351851849</v>
      </c>
      <c r="B54">
        <v>13</v>
      </c>
      <c r="C54" t="s">
        <v>19</v>
      </c>
      <c r="D54">
        <v>20299.883999999998</v>
      </c>
      <c r="E54">
        <v>0.53120000000000001</v>
      </c>
      <c r="F54">
        <v>211.7423</v>
      </c>
      <c r="G54">
        <v>5000</v>
      </c>
      <c r="H54">
        <v>8157.3148790400001</v>
      </c>
      <c r="I54">
        <v>12.18</v>
      </c>
      <c r="J54">
        <v>12.15588005</v>
      </c>
      <c r="K54">
        <v>0</v>
      </c>
      <c r="L54">
        <v>0</v>
      </c>
      <c r="M54">
        <v>-912.32874387000004</v>
      </c>
      <c r="N54">
        <v>1456.6648079700001</v>
      </c>
      <c r="O54">
        <v>547.99866925000003</v>
      </c>
      <c r="P54">
        <v>544.33606411000005</v>
      </c>
      <c r="Q54">
        <f t="shared" si="0"/>
        <v>-5912.3287438699999</v>
      </c>
      <c r="R54">
        <f t="shared" si="1"/>
        <v>-6700.6500710700002</v>
      </c>
      <c r="S54">
        <f t="shared" si="2"/>
        <v>-12612.978814940001</v>
      </c>
      <c r="T54">
        <v>-4736.7543530499997</v>
      </c>
      <c r="U54">
        <v>-7876.2244618900004</v>
      </c>
      <c r="V54">
        <f t="shared" si="3"/>
        <v>-12612.978814940001</v>
      </c>
      <c r="W54">
        <f t="shared" si="4"/>
        <v>0</v>
      </c>
    </row>
    <row r="55" spans="1:23" x14ac:dyDescent="0.25">
      <c r="A55" s="1">
        <v>45949.729421296295</v>
      </c>
      <c r="B55">
        <v>14</v>
      </c>
      <c r="C55" t="s">
        <v>16</v>
      </c>
      <c r="D55">
        <v>41036.674400000004</v>
      </c>
      <c r="E55">
        <v>0</v>
      </c>
      <c r="F55">
        <v>0</v>
      </c>
      <c r="G55">
        <v>5000</v>
      </c>
      <c r="H55">
        <v>2416.81076867</v>
      </c>
      <c r="I55">
        <v>28.364999999999998</v>
      </c>
      <c r="J55">
        <v>28.26235638</v>
      </c>
      <c r="K55">
        <v>0</v>
      </c>
      <c r="L55">
        <v>0</v>
      </c>
      <c r="M55">
        <v>-3761.6402491499998</v>
      </c>
      <c r="N55">
        <v>1187.7680970399999</v>
      </c>
      <c r="O55">
        <v>-2564.3183028499998</v>
      </c>
      <c r="P55">
        <v>-2573.8721521100001</v>
      </c>
      <c r="Q55">
        <f t="shared" si="0"/>
        <v>-8761.6402491499994</v>
      </c>
      <c r="R55">
        <f t="shared" si="1"/>
        <v>-1229.0426716300001</v>
      </c>
      <c r="S55">
        <f t="shared" si="2"/>
        <v>-9990.6829207800001</v>
      </c>
      <c r="T55">
        <v>-8761.6402491499994</v>
      </c>
      <c r="U55">
        <v>-1229.04267162</v>
      </c>
      <c r="V55">
        <f t="shared" si="3"/>
        <v>-9990.6829207699993</v>
      </c>
      <c r="W55">
        <f t="shared" si="4"/>
        <v>0</v>
      </c>
    </row>
    <row r="56" spans="1:23" x14ac:dyDescent="0.25">
      <c r="A56" s="1">
        <v>45949.729421296295</v>
      </c>
      <c r="B56">
        <v>14</v>
      </c>
      <c r="C56" t="s">
        <v>17</v>
      </c>
      <c r="D56">
        <v>36073.350299999998</v>
      </c>
      <c r="E56">
        <v>0.1946</v>
      </c>
      <c r="F56">
        <v>0</v>
      </c>
      <c r="G56">
        <v>5000</v>
      </c>
      <c r="H56">
        <v>2416.81076867</v>
      </c>
      <c r="I56">
        <v>23.149000000000001</v>
      </c>
      <c r="J56">
        <v>23.008781259999999</v>
      </c>
      <c r="K56">
        <v>0</v>
      </c>
      <c r="L56">
        <v>0</v>
      </c>
      <c r="M56">
        <v>-2543.28753439</v>
      </c>
      <c r="N56">
        <v>593.74130585</v>
      </c>
      <c r="O56">
        <v>-1949.0976165300001</v>
      </c>
      <c r="P56">
        <v>-1949.5462285399999</v>
      </c>
      <c r="Q56">
        <f t="shared" si="0"/>
        <v>-7543.2875343899996</v>
      </c>
      <c r="R56">
        <f t="shared" si="1"/>
        <v>-1823.0694628199999</v>
      </c>
      <c r="S56">
        <f t="shared" si="2"/>
        <v>-9366.3569972099995</v>
      </c>
      <c r="T56">
        <v>-7543.2875343899996</v>
      </c>
      <c r="U56">
        <v>-1823.0694628199999</v>
      </c>
      <c r="V56">
        <f t="shared" si="3"/>
        <v>-9366.3569972099995</v>
      </c>
      <c r="W56">
        <f t="shared" si="4"/>
        <v>0</v>
      </c>
    </row>
    <row r="57" spans="1:23" x14ac:dyDescent="0.25">
      <c r="A57" s="1">
        <v>45949.729421296295</v>
      </c>
      <c r="B57">
        <v>14</v>
      </c>
      <c r="C57" t="s">
        <v>18</v>
      </c>
      <c r="D57">
        <v>41036.674400000004</v>
      </c>
      <c r="E57">
        <v>0</v>
      </c>
      <c r="F57">
        <v>0</v>
      </c>
      <c r="G57">
        <v>5000</v>
      </c>
      <c r="H57">
        <v>2416.81076867</v>
      </c>
      <c r="I57">
        <v>28.352</v>
      </c>
      <c r="J57">
        <v>28.26235638</v>
      </c>
      <c r="K57">
        <v>0</v>
      </c>
      <c r="L57">
        <v>0</v>
      </c>
      <c r="M57">
        <v>-3761.6402491499998</v>
      </c>
      <c r="N57">
        <v>1187.7680970399999</v>
      </c>
      <c r="O57">
        <v>-2576.3078065200002</v>
      </c>
      <c r="P57">
        <v>-2573.8721521100001</v>
      </c>
      <c r="Q57">
        <f t="shared" si="0"/>
        <v>-8761.6402491499994</v>
      </c>
      <c r="R57">
        <f t="shared" si="1"/>
        <v>-1229.0426716300001</v>
      </c>
      <c r="S57">
        <f t="shared" si="2"/>
        <v>-9990.6829207800001</v>
      </c>
      <c r="T57">
        <v>-8761.6402491499994</v>
      </c>
      <c r="U57">
        <v>-1229.04267162</v>
      </c>
      <c r="V57">
        <f t="shared" si="3"/>
        <v>-9990.6829207699993</v>
      </c>
      <c r="W57">
        <f t="shared" si="4"/>
        <v>0</v>
      </c>
    </row>
    <row r="58" spans="1:23" x14ac:dyDescent="0.25">
      <c r="A58" s="1">
        <v>45949.729421296295</v>
      </c>
      <c r="B58">
        <v>14</v>
      </c>
      <c r="C58" t="s">
        <v>19</v>
      </c>
      <c r="D58">
        <v>33386.703800000003</v>
      </c>
      <c r="E58">
        <v>0.25</v>
      </c>
      <c r="F58">
        <v>198.66630000000001</v>
      </c>
      <c r="G58">
        <v>5000</v>
      </c>
      <c r="H58">
        <v>2416.81076867</v>
      </c>
      <c r="I58">
        <v>20.021999999999998</v>
      </c>
      <c r="J58">
        <v>19.941740370000002</v>
      </c>
      <c r="K58">
        <v>4.8419999999999996</v>
      </c>
      <c r="L58">
        <v>4.8191585200000002</v>
      </c>
      <c r="M58">
        <v>-1959.39977426</v>
      </c>
      <c r="N58">
        <v>9.8535457199999996</v>
      </c>
      <c r="O58">
        <v>-1965.1654925400001</v>
      </c>
      <c r="P58">
        <v>-1949.5462285399999</v>
      </c>
      <c r="Q58">
        <f t="shared" si="0"/>
        <v>-6959.3997742600004</v>
      </c>
      <c r="R58">
        <f t="shared" si="1"/>
        <v>-2406.95722295</v>
      </c>
      <c r="S58">
        <f t="shared" si="2"/>
        <v>-9366.3569972100013</v>
      </c>
      <c r="T58">
        <v>-5641.0043039100001</v>
      </c>
      <c r="U58">
        <v>-3725.3526932899999</v>
      </c>
      <c r="V58">
        <f t="shared" si="3"/>
        <v>-9366.3569972000005</v>
      </c>
      <c r="W58">
        <f t="shared" si="4"/>
        <v>0</v>
      </c>
    </row>
    <row r="59" spans="1:23" x14ac:dyDescent="0.25">
      <c r="A59" s="1">
        <v>45949.72960648148</v>
      </c>
      <c r="B59">
        <v>15</v>
      </c>
      <c r="C59" t="s">
        <v>16</v>
      </c>
      <c r="D59">
        <v>54416.131399999998</v>
      </c>
      <c r="E59">
        <v>0</v>
      </c>
      <c r="F59">
        <v>0</v>
      </c>
      <c r="G59">
        <v>5000</v>
      </c>
      <c r="H59">
        <v>-2481.4538218799999</v>
      </c>
      <c r="I59">
        <v>39.591000000000001</v>
      </c>
      <c r="J59">
        <v>39.557856770000001</v>
      </c>
      <c r="K59">
        <v>100</v>
      </c>
      <c r="L59">
        <v>100</v>
      </c>
      <c r="M59">
        <v>-3446.5140875100001</v>
      </c>
      <c r="N59">
        <v>-6587.3442293600001</v>
      </c>
      <c r="O59">
        <v>-10021.25152767</v>
      </c>
      <c r="P59">
        <v>-10033.858316870001</v>
      </c>
      <c r="Q59">
        <f t="shared" si="0"/>
        <v>-8446.5140875100005</v>
      </c>
      <c r="R59">
        <f t="shared" si="1"/>
        <v>-4105.8904074800002</v>
      </c>
      <c r="S59">
        <f t="shared" si="2"/>
        <v>-12552.404494990002</v>
      </c>
      <c r="T59">
        <v>-8446.5140875100005</v>
      </c>
      <c r="U59">
        <v>-4105.8904074700004</v>
      </c>
      <c r="V59">
        <f t="shared" si="3"/>
        <v>-12552.404494980001</v>
      </c>
      <c r="W59">
        <f t="shared" si="4"/>
        <v>0</v>
      </c>
    </row>
    <row r="60" spans="1:23" x14ac:dyDescent="0.25">
      <c r="A60" s="1">
        <v>45949.72960648148</v>
      </c>
      <c r="B60">
        <v>15</v>
      </c>
      <c r="C60" t="s">
        <v>17</v>
      </c>
      <c r="D60">
        <v>52526.179700000001</v>
      </c>
      <c r="E60">
        <v>7.4099999999999999E-2</v>
      </c>
      <c r="F60">
        <v>0</v>
      </c>
      <c r="G60">
        <v>5000</v>
      </c>
      <c r="H60">
        <v>-2481.4538218799999</v>
      </c>
      <c r="I60">
        <v>39.360999999999997</v>
      </c>
      <c r="J60">
        <v>39.222230879999998</v>
      </c>
      <c r="K60">
        <v>100</v>
      </c>
      <c r="L60">
        <v>100</v>
      </c>
      <c r="M60">
        <v>-3384.3076623699999</v>
      </c>
      <c r="N60">
        <v>-6567.8803951800001</v>
      </c>
      <c r="O60">
        <v>-9917.3571613299991</v>
      </c>
      <c r="P60">
        <v>-9952.1880575499999</v>
      </c>
      <c r="Q60">
        <f t="shared" si="0"/>
        <v>-8384.3076623699999</v>
      </c>
      <c r="R60">
        <f t="shared" si="1"/>
        <v>-4086.4265733000002</v>
      </c>
      <c r="S60">
        <f t="shared" si="2"/>
        <v>-12470.734235669999</v>
      </c>
      <c r="T60">
        <v>-8384.30746955</v>
      </c>
      <c r="U60">
        <v>-4086.4267661200001</v>
      </c>
      <c r="V60">
        <f t="shared" si="3"/>
        <v>-12470.734235669999</v>
      </c>
      <c r="W60">
        <f t="shared" si="4"/>
        <v>0</v>
      </c>
    </row>
    <row r="61" spans="1:23" x14ac:dyDescent="0.25">
      <c r="A61" s="1">
        <v>45949.72960648148</v>
      </c>
      <c r="B61">
        <v>15</v>
      </c>
      <c r="C61" t="s">
        <v>18</v>
      </c>
      <c r="D61">
        <v>41072.386400000003</v>
      </c>
      <c r="E61">
        <v>0</v>
      </c>
      <c r="F61">
        <v>1433.0523000000001</v>
      </c>
      <c r="G61">
        <v>5000</v>
      </c>
      <c r="H61">
        <v>-2481.4538218799999</v>
      </c>
      <c r="I61">
        <v>23.456</v>
      </c>
      <c r="J61">
        <v>23.613599749999999</v>
      </c>
      <c r="K61">
        <v>91.581000000000003</v>
      </c>
      <c r="L61">
        <v>91.591227050000001</v>
      </c>
      <c r="M61">
        <v>-1749.7261238200001</v>
      </c>
      <c r="N61">
        <v>-3728.1419006299998</v>
      </c>
      <c r="O61">
        <v>-5476.3472559700003</v>
      </c>
      <c r="P61">
        <v>-5477.8680244500001</v>
      </c>
      <c r="Q61">
        <f t="shared" si="0"/>
        <v>-6749.7261238199999</v>
      </c>
      <c r="R61">
        <f t="shared" si="1"/>
        <v>-1246.6880787499999</v>
      </c>
      <c r="S61">
        <f t="shared" si="2"/>
        <v>-7996.4142025700003</v>
      </c>
      <c r="T61">
        <v>-6749.7231574199996</v>
      </c>
      <c r="U61">
        <v>-1246.69104515</v>
      </c>
      <c r="V61">
        <f t="shared" si="3"/>
        <v>-7996.4142025699994</v>
      </c>
      <c r="W61">
        <f t="shared" si="4"/>
        <v>0</v>
      </c>
    </row>
    <row r="62" spans="1:23" x14ac:dyDescent="0.25">
      <c r="A62" s="1">
        <v>45949.72960648148</v>
      </c>
      <c r="B62">
        <v>15</v>
      </c>
      <c r="C62" t="s">
        <v>19</v>
      </c>
      <c r="D62">
        <v>40708.174500000001</v>
      </c>
      <c r="E62">
        <v>9.1999999999999998E-3</v>
      </c>
      <c r="F62">
        <v>1446.9172000000001</v>
      </c>
      <c r="G62">
        <v>5000</v>
      </c>
      <c r="H62">
        <v>-2481.4538218799999</v>
      </c>
      <c r="I62">
        <v>23.509</v>
      </c>
      <c r="J62">
        <v>23.34257878</v>
      </c>
      <c r="K62">
        <v>91.456000000000003</v>
      </c>
      <c r="L62">
        <v>91.397171839999999</v>
      </c>
      <c r="M62">
        <v>-1726.64176982</v>
      </c>
      <c r="N62">
        <v>-3741.81070658</v>
      </c>
      <c r="O62">
        <v>-5463.1033196799999</v>
      </c>
      <c r="P62">
        <v>-5468.4524763999998</v>
      </c>
      <c r="Q62">
        <f t="shared" si="0"/>
        <v>-6726.6417698200003</v>
      </c>
      <c r="R62">
        <f t="shared" si="1"/>
        <v>-1260.3568847000001</v>
      </c>
      <c r="S62">
        <f t="shared" si="2"/>
        <v>-7986.9986545200009</v>
      </c>
      <c r="T62">
        <v>-6726.6402742299997</v>
      </c>
      <c r="U62">
        <v>-1260.35838029</v>
      </c>
      <c r="V62">
        <f t="shared" si="3"/>
        <v>-7986.9986545199999</v>
      </c>
      <c r="W62">
        <f t="shared" si="4"/>
        <v>0</v>
      </c>
    </row>
    <row r="63" spans="1:23" x14ac:dyDescent="0.25">
      <c r="A63" s="1">
        <v>45949.729826388888</v>
      </c>
      <c r="B63">
        <v>16</v>
      </c>
      <c r="C63" t="s">
        <v>16</v>
      </c>
      <c r="D63">
        <v>85884.200599999996</v>
      </c>
      <c r="E63">
        <v>0</v>
      </c>
      <c r="F63">
        <v>0</v>
      </c>
      <c r="G63">
        <v>5000</v>
      </c>
      <c r="H63">
        <v>-6099.9752577299996</v>
      </c>
      <c r="I63">
        <v>58.493000000000002</v>
      </c>
      <c r="J63">
        <v>58.379571910000003</v>
      </c>
      <c r="K63">
        <v>100</v>
      </c>
      <c r="L63">
        <v>100</v>
      </c>
      <c r="M63">
        <v>-4785.6096436400003</v>
      </c>
      <c r="N63">
        <v>-26869.189809420001</v>
      </c>
      <c r="O63">
        <v>-31708.437022999999</v>
      </c>
      <c r="P63">
        <v>-31654.799453060001</v>
      </c>
      <c r="Q63">
        <f t="shared" si="0"/>
        <v>-9785.6096436400003</v>
      </c>
      <c r="R63">
        <f t="shared" si="1"/>
        <v>-20769.214551690002</v>
      </c>
      <c r="S63">
        <f t="shared" si="2"/>
        <v>-30554.824195330002</v>
      </c>
      <c r="T63">
        <v>-9785.6096436400003</v>
      </c>
      <c r="U63">
        <v>-20769.214551689998</v>
      </c>
      <c r="V63">
        <f t="shared" si="3"/>
        <v>-30554.824195329998</v>
      </c>
      <c r="W63">
        <f t="shared" si="4"/>
        <v>0</v>
      </c>
    </row>
    <row r="64" spans="1:23" x14ac:dyDescent="0.25">
      <c r="A64" s="1">
        <v>45949.729826388888</v>
      </c>
      <c r="B64">
        <v>16</v>
      </c>
      <c r="C64" t="s">
        <v>17</v>
      </c>
      <c r="D64">
        <v>68986.938999999998</v>
      </c>
      <c r="E64">
        <v>0.66259999999999997</v>
      </c>
      <c r="F64">
        <v>0</v>
      </c>
      <c r="G64">
        <v>5000</v>
      </c>
      <c r="H64">
        <v>-6099.9752577299996</v>
      </c>
      <c r="I64">
        <v>58.246000000000002</v>
      </c>
      <c r="J64">
        <v>58.149993369999997</v>
      </c>
      <c r="K64">
        <v>100</v>
      </c>
      <c r="L64">
        <v>100</v>
      </c>
      <c r="M64">
        <v>-4782.6859412499998</v>
      </c>
      <c r="N64">
        <v>-26483.395658450001</v>
      </c>
      <c r="O64">
        <v>-31227.855285869999</v>
      </c>
      <c r="P64">
        <v>-31266.081599699999</v>
      </c>
      <c r="Q64">
        <f t="shared" si="0"/>
        <v>-9782.6859412499998</v>
      </c>
      <c r="R64">
        <f t="shared" si="1"/>
        <v>-20383.420400720002</v>
      </c>
      <c r="S64">
        <f t="shared" si="2"/>
        <v>-30166.10634197</v>
      </c>
      <c r="T64">
        <v>-9782.6859412499998</v>
      </c>
      <c r="U64">
        <v>-20383.42040073</v>
      </c>
      <c r="V64">
        <f t="shared" si="3"/>
        <v>-30166.106341979998</v>
      </c>
      <c r="W64">
        <f t="shared" si="4"/>
        <v>0</v>
      </c>
    </row>
    <row r="65" spans="1:23" x14ac:dyDescent="0.25">
      <c r="A65" s="1">
        <v>45949.729826388888</v>
      </c>
      <c r="B65">
        <v>16</v>
      </c>
      <c r="C65" t="s">
        <v>18</v>
      </c>
      <c r="D65">
        <v>40463.888800000001</v>
      </c>
      <c r="E65">
        <v>0</v>
      </c>
      <c r="F65">
        <v>4190.8663999999999</v>
      </c>
      <c r="G65">
        <v>5000</v>
      </c>
      <c r="H65">
        <v>-6099.9752577299996</v>
      </c>
      <c r="I65">
        <v>42.524999999999999</v>
      </c>
      <c r="J65">
        <v>42.325319659999998</v>
      </c>
      <c r="K65">
        <v>99.448999999999998</v>
      </c>
      <c r="L65">
        <v>99.455941640000006</v>
      </c>
      <c r="M65">
        <v>-4138.7038817800003</v>
      </c>
      <c r="N65">
        <v>-13363.513817859999</v>
      </c>
      <c r="O65">
        <v>-17495.91176146</v>
      </c>
      <c r="P65">
        <v>-17502.217699640001</v>
      </c>
      <c r="Q65">
        <f t="shared" si="0"/>
        <v>-9138.7038817800003</v>
      </c>
      <c r="R65">
        <f t="shared" si="1"/>
        <v>-7263.5385601299995</v>
      </c>
      <c r="S65">
        <f t="shared" si="2"/>
        <v>-16402.242441909999</v>
      </c>
      <c r="T65">
        <v>-9138.7038817800003</v>
      </c>
      <c r="U65">
        <v>-7263.5385601300004</v>
      </c>
      <c r="V65">
        <f t="shared" si="3"/>
        <v>-16402.242441909999</v>
      </c>
      <c r="W65">
        <f t="shared" si="4"/>
        <v>0</v>
      </c>
    </row>
    <row r="66" spans="1:23" x14ac:dyDescent="0.25">
      <c r="A66" s="1">
        <v>45949.729826388888</v>
      </c>
      <c r="B66">
        <v>16</v>
      </c>
      <c r="C66" t="s">
        <v>19</v>
      </c>
      <c r="D66">
        <v>38872.451399999998</v>
      </c>
      <c r="E66">
        <v>6.2100000000000002E-2</v>
      </c>
      <c r="F66">
        <v>4191.683</v>
      </c>
      <c r="G66">
        <v>5000</v>
      </c>
      <c r="H66">
        <v>-6099.9752577299996</v>
      </c>
      <c r="I66">
        <v>42.186999999999998</v>
      </c>
      <c r="J66">
        <v>42.30667536</v>
      </c>
      <c r="K66">
        <v>99.418000000000006</v>
      </c>
      <c r="L66">
        <v>99.452799420000005</v>
      </c>
      <c r="M66">
        <v>-4138.4379398199999</v>
      </c>
      <c r="N66">
        <v>-13315.652954589999</v>
      </c>
      <c r="O66">
        <v>-17444.718270140002</v>
      </c>
      <c r="P66">
        <v>-17454.090894410001</v>
      </c>
      <c r="Q66">
        <f t="shared" si="0"/>
        <v>-9138.4379398199999</v>
      </c>
      <c r="R66">
        <f t="shared" si="1"/>
        <v>-7215.6776968599997</v>
      </c>
      <c r="S66">
        <f t="shared" si="2"/>
        <v>-16354.115636679999</v>
      </c>
      <c r="T66">
        <v>-9138.4373742999996</v>
      </c>
      <c r="U66">
        <v>-7215.6782623899999</v>
      </c>
      <c r="V66">
        <f t="shared" si="3"/>
        <v>-16354.11563669</v>
      </c>
      <c r="W66">
        <f t="shared" si="4"/>
        <v>0</v>
      </c>
    </row>
    <row r="67" spans="1:23" x14ac:dyDescent="0.25">
      <c r="A67" s="1">
        <v>45949.729884259257</v>
      </c>
      <c r="B67">
        <v>17</v>
      </c>
      <c r="C67" t="s">
        <v>16</v>
      </c>
      <c r="D67">
        <v>31949.849699999999</v>
      </c>
      <c r="E67">
        <v>0</v>
      </c>
      <c r="F67">
        <v>0</v>
      </c>
      <c r="G67">
        <v>5000</v>
      </c>
      <c r="H67">
        <v>12271.034615119999</v>
      </c>
      <c r="I67">
        <v>35.499000000000002</v>
      </c>
      <c r="J67">
        <v>35.382738330000002</v>
      </c>
      <c r="K67">
        <v>0</v>
      </c>
      <c r="L67">
        <v>0</v>
      </c>
      <c r="M67">
        <v>-10305.2925524</v>
      </c>
      <c r="N67">
        <v>11066.063580780001</v>
      </c>
      <c r="O67">
        <v>774.65103080999995</v>
      </c>
      <c r="P67">
        <v>760.77102837999996</v>
      </c>
      <c r="Q67">
        <f t="shared" si="0"/>
        <v>-15305.2925524</v>
      </c>
      <c r="R67">
        <f t="shared" si="1"/>
        <v>-1204.9710343399984</v>
      </c>
      <c r="S67">
        <f t="shared" si="2"/>
        <v>-16510.263586739999</v>
      </c>
      <c r="T67">
        <v>-15305.2925524</v>
      </c>
      <c r="U67">
        <v>-1204.97103434</v>
      </c>
      <c r="V67">
        <f t="shared" si="3"/>
        <v>-16510.263586739999</v>
      </c>
      <c r="W67">
        <f t="shared" si="4"/>
        <v>0</v>
      </c>
    </row>
    <row r="68" spans="1:23" x14ac:dyDescent="0.25">
      <c r="A68" s="1">
        <v>45949.729884259257</v>
      </c>
      <c r="B68">
        <v>17</v>
      </c>
      <c r="C68" t="s">
        <v>17</v>
      </c>
      <c r="D68">
        <v>19199.849699999999</v>
      </c>
      <c r="E68">
        <v>0.5</v>
      </c>
      <c r="F68">
        <v>0</v>
      </c>
      <c r="G68">
        <v>5000</v>
      </c>
      <c r="H68">
        <v>12271.034615119999</v>
      </c>
      <c r="I68">
        <v>20.798999999999999</v>
      </c>
      <c r="J68">
        <v>20.765476660000001</v>
      </c>
      <c r="K68">
        <v>0</v>
      </c>
      <c r="L68">
        <v>0</v>
      </c>
      <c r="M68">
        <v>-2673.6867397199999</v>
      </c>
      <c r="N68">
        <v>4587.79115121</v>
      </c>
      <c r="O68">
        <v>1885.9154353500001</v>
      </c>
      <c r="P68">
        <v>1914.1044114900001</v>
      </c>
      <c r="Q68">
        <f t="shared" ref="Q68:Q106" si="5">M68-G68</f>
        <v>-7673.6867397200003</v>
      </c>
      <c r="R68">
        <f t="shared" ref="R68:R106" si="6">N68-H68</f>
        <v>-7683.2434639099993</v>
      </c>
      <c r="S68">
        <f t="shared" ref="S68:S106" si="7">Q68+R68</f>
        <v>-15356.93020363</v>
      </c>
      <c r="T68">
        <v>-7673.6867397200003</v>
      </c>
      <c r="U68">
        <v>-7683.2434639100002</v>
      </c>
      <c r="V68">
        <f t="shared" ref="V68:V106" si="8">T68+U68</f>
        <v>-15356.93020363</v>
      </c>
      <c r="W68">
        <f t="shared" ref="W68:W106" si="9">ROUND(ABS(V68-S68),5)</f>
        <v>0</v>
      </c>
    </row>
    <row r="69" spans="1:23" x14ac:dyDescent="0.25">
      <c r="A69" s="1">
        <v>45949.729884259257</v>
      </c>
      <c r="B69">
        <v>17</v>
      </c>
      <c r="C69" t="s">
        <v>18</v>
      </c>
      <c r="D69">
        <v>31949.849699999999</v>
      </c>
      <c r="E69">
        <v>0</v>
      </c>
      <c r="F69">
        <v>0</v>
      </c>
      <c r="G69">
        <v>5000</v>
      </c>
      <c r="H69">
        <v>12271.034615119999</v>
      </c>
      <c r="I69">
        <v>35.253999999999998</v>
      </c>
      <c r="J69">
        <v>35.382738330000002</v>
      </c>
      <c r="K69">
        <v>0</v>
      </c>
      <c r="L69">
        <v>0</v>
      </c>
      <c r="M69">
        <v>-10305.2925524</v>
      </c>
      <c r="N69">
        <v>11066.063580780001</v>
      </c>
      <c r="O69">
        <v>772.96928795999997</v>
      </c>
      <c r="P69">
        <v>760.77102837999996</v>
      </c>
      <c r="Q69">
        <f t="shared" si="5"/>
        <v>-15305.2925524</v>
      </c>
      <c r="R69">
        <f t="shared" si="6"/>
        <v>-1204.9710343399984</v>
      </c>
      <c r="S69">
        <f t="shared" si="7"/>
        <v>-16510.263586739999</v>
      </c>
      <c r="T69">
        <v>-15305.2925524</v>
      </c>
      <c r="U69">
        <v>-1204.97103434</v>
      </c>
      <c r="V69">
        <f t="shared" si="8"/>
        <v>-16510.263586739999</v>
      </c>
      <c r="W69">
        <f t="shared" si="9"/>
        <v>0</v>
      </c>
    </row>
    <row r="70" spans="1:23" x14ac:dyDescent="0.25">
      <c r="A70" s="1">
        <v>45949.729884259257</v>
      </c>
      <c r="B70">
        <v>17</v>
      </c>
      <c r="C70" t="s">
        <v>19</v>
      </c>
      <c r="D70">
        <v>18785.3639</v>
      </c>
      <c r="E70">
        <v>0.5</v>
      </c>
      <c r="F70">
        <v>77.744399999999999</v>
      </c>
      <c r="G70">
        <v>5000</v>
      </c>
      <c r="H70">
        <v>12271.034615119999</v>
      </c>
      <c r="I70">
        <v>20.821000000000002</v>
      </c>
      <c r="J70">
        <v>20.698254550000001</v>
      </c>
      <c r="K70">
        <v>0</v>
      </c>
      <c r="L70">
        <v>0</v>
      </c>
      <c r="M70">
        <v>-2662.2864595299998</v>
      </c>
      <c r="N70">
        <v>4576.3908710200003</v>
      </c>
      <c r="O70">
        <v>1880.38725187</v>
      </c>
      <c r="P70">
        <v>1914.1044114900001</v>
      </c>
      <c r="Q70">
        <f t="shared" si="5"/>
        <v>-7662.2864595299998</v>
      </c>
      <c r="R70">
        <f t="shared" si="6"/>
        <v>-7694.6437440999989</v>
      </c>
      <c r="S70">
        <f t="shared" si="7"/>
        <v>-15356.93020363</v>
      </c>
      <c r="T70">
        <v>-7662.2864595299998</v>
      </c>
      <c r="U70">
        <v>-7694.6437440999998</v>
      </c>
      <c r="V70">
        <f t="shared" si="8"/>
        <v>-15356.93020363</v>
      </c>
      <c r="W70">
        <f t="shared" si="9"/>
        <v>0</v>
      </c>
    </row>
    <row r="71" spans="1:23" x14ac:dyDescent="0.25">
      <c r="A71" s="1">
        <v>45949.72997685185</v>
      </c>
      <c r="B71">
        <v>18</v>
      </c>
      <c r="C71" t="s">
        <v>16</v>
      </c>
      <c r="D71">
        <v>33554.877099999998</v>
      </c>
      <c r="E71">
        <v>0</v>
      </c>
      <c r="F71">
        <v>0</v>
      </c>
      <c r="G71">
        <v>5000</v>
      </c>
      <c r="H71">
        <v>9532.9300046600001</v>
      </c>
      <c r="I71">
        <v>33.701999999999998</v>
      </c>
      <c r="J71">
        <v>33.547328720000003</v>
      </c>
      <c r="K71">
        <v>0</v>
      </c>
      <c r="L71">
        <v>0</v>
      </c>
      <c r="M71">
        <v>-8385.7305697899992</v>
      </c>
      <c r="N71">
        <v>7720.1115525699997</v>
      </c>
      <c r="O71">
        <v>-645.89662505000001</v>
      </c>
      <c r="P71">
        <v>-665.61901722000005</v>
      </c>
      <c r="Q71">
        <f t="shared" si="5"/>
        <v>-13385.730569789999</v>
      </c>
      <c r="R71">
        <f t="shared" si="6"/>
        <v>-1812.8184520900004</v>
      </c>
      <c r="S71">
        <f t="shared" si="7"/>
        <v>-15198.549021880001</v>
      </c>
      <c r="T71">
        <v>-13385.730569789999</v>
      </c>
      <c r="U71">
        <v>-1812.8184520899999</v>
      </c>
      <c r="V71">
        <f t="shared" si="8"/>
        <v>-15198.549021879999</v>
      </c>
      <c r="W71">
        <f t="shared" si="9"/>
        <v>0</v>
      </c>
    </row>
    <row r="72" spans="1:23" x14ac:dyDescent="0.25">
      <c r="A72" s="1">
        <v>45949.72997685185</v>
      </c>
      <c r="B72">
        <v>18</v>
      </c>
      <c r="C72" t="s">
        <v>17</v>
      </c>
      <c r="D72">
        <v>20804.877100000002</v>
      </c>
      <c r="E72">
        <v>0.5</v>
      </c>
      <c r="F72">
        <v>0</v>
      </c>
      <c r="G72">
        <v>5000</v>
      </c>
      <c r="H72">
        <v>9532.9300046600001</v>
      </c>
      <c r="I72">
        <v>17.097000000000001</v>
      </c>
      <c r="J72">
        <v>17.094657439999999</v>
      </c>
      <c r="K72">
        <v>0</v>
      </c>
      <c r="L72">
        <v>0</v>
      </c>
      <c r="M72">
        <v>-1776.39280457</v>
      </c>
      <c r="N72">
        <v>2764.3398397300002</v>
      </c>
      <c r="O72">
        <v>968.16735456000004</v>
      </c>
      <c r="P72">
        <v>987.94703516000004</v>
      </c>
      <c r="Q72">
        <f t="shared" si="5"/>
        <v>-6776.3928045699995</v>
      </c>
      <c r="R72">
        <f t="shared" si="6"/>
        <v>-6768.5901649299994</v>
      </c>
      <c r="S72">
        <f t="shared" si="7"/>
        <v>-13544.982969499999</v>
      </c>
      <c r="T72">
        <v>-6776.3928045700004</v>
      </c>
      <c r="U72">
        <v>-6768.5901649300004</v>
      </c>
      <c r="V72">
        <f t="shared" si="8"/>
        <v>-13544.982969500001</v>
      </c>
      <c r="W72">
        <f t="shared" si="9"/>
        <v>0</v>
      </c>
    </row>
    <row r="73" spans="1:23" x14ac:dyDescent="0.25">
      <c r="A73" s="1">
        <v>45949.72997685185</v>
      </c>
      <c r="B73">
        <v>18</v>
      </c>
      <c r="C73" t="s">
        <v>18</v>
      </c>
      <c r="D73">
        <v>33554.877099999998</v>
      </c>
      <c r="E73">
        <v>0</v>
      </c>
      <c r="F73">
        <v>0</v>
      </c>
      <c r="G73">
        <v>5000</v>
      </c>
      <c r="H73">
        <v>9532.9300046600001</v>
      </c>
      <c r="I73">
        <v>33.542000000000002</v>
      </c>
      <c r="J73">
        <v>33.547328720000003</v>
      </c>
      <c r="K73">
        <v>0</v>
      </c>
      <c r="L73">
        <v>0</v>
      </c>
      <c r="M73">
        <v>-8385.7305697899992</v>
      </c>
      <c r="N73">
        <v>7720.1115525699997</v>
      </c>
      <c r="O73">
        <v>-691.50880772999994</v>
      </c>
      <c r="P73">
        <v>-665.61901722000005</v>
      </c>
      <c r="Q73">
        <f t="shared" si="5"/>
        <v>-13385.730569789999</v>
      </c>
      <c r="R73">
        <f t="shared" si="6"/>
        <v>-1812.8184520900004</v>
      </c>
      <c r="S73">
        <f t="shared" si="7"/>
        <v>-15198.549021880001</v>
      </c>
      <c r="T73">
        <v>-13385.730569789999</v>
      </c>
      <c r="U73">
        <v>-1812.8184520899999</v>
      </c>
      <c r="V73">
        <f t="shared" si="8"/>
        <v>-15198.549021879999</v>
      </c>
      <c r="W73">
        <f t="shared" si="9"/>
        <v>0</v>
      </c>
    </row>
    <row r="74" spans="1:23" x14ac:dyDescent="0.25">
      <c r="A74" s="1">
        <v>45949.72997685185</v>
      </c>
      <c r="B74">
        <v>18</v>
      </c>
      <c r="C74" t="s">
        <v>19</v>
      </c>
      <c r="D74">
        <v>12732.382600000001</v>
      </c>
      <c r="E74">
        <v>0.75</v>
      </c>
      <c r="F74">
        <v>328.74029999999999</v>
      </c>
      <c r="G74">
        <v>5000</v>
      </c>
      <c r="H74">
        <v>9532.9300046600001</v>
      </c>
      <c r="I74">
        <v>0</v>
      </c>
      <c r="J74">
        <v>0</v>
      </c>
      <c r="K74">
        <v>7.84</v>
      </c>
      <c r="L74">
        <v>7.8306128599999996</v>
      </c>
      <c r="M74">
        <v>1611.5629184700001</v>
      </c>
      <c r="N74">
        <v>-623.61588330999996</v>
      </c>
      <c r="O74">
        <v>993.81531371000005</v>
      </c>
      <c r="P74">
        <v>987.94703517000005</v>
      </c>
      <c r="Q74">
        <f t="shared" si="5"/>
        <v>-3388.4370815299999</v>
      </c>
      <c r="R74">
        <f t="shared" si="6"/>
        <v>-10156.54588797</v>
      </c>
      <c r="S74">
        <f t="shared" si="7"/>
        <v>-13544.982969500001</v>
      </c>
      <c r="T74">
        <v>-3388.4370815299999</v>
      </c>
      <c r="U74">
        <v>-10156.54588797</v>
      </c>
      <c r="V74">
        <f t="shared" si="8"/>
        <v>-13544.982969500001</v>
      </c>
      <c r="W74">
        <f t="shared" si="9"/>
        <v>0</v>
      </c>
    </row>
    <row r="75" spans="1:23" x14ac:dyDescent="0.25">
      <c r="A75" s="1">
        <v>45949.730057870373</v>
      </c>
      <c r="B75">
        <v>19</v>
      </c>
      <c r="C75" t="s">
        <v>16</v>
      </c>
      <c r="D75">
        <v>41673.885999999999</v>
      </c>
      <c r="E75">
        <v>0</v>
      </c>
      <c r="F75">
        <v>0</v>
      </c>
      <c r="G75">
        <v>5000</v>
      </c>
      <c r="H75">
        <v>2043.1365296700001</v>
      </c>
      <c r="I75">
        <v>27.39</v>
      </c>
      <c r="J75">
        <v>27.235570809999999</v>
      </c>
      <c r="K75">
        <v>0</v>
      </c>
      <c r="L75">
        <v>0</v>
      </c>
      <c r="M75">
        <v>-3526.3674593199999</v>
      </c>
      <c r="N75">
        <v>1032.69271643</v>
      </c>
      <c r="O75">
        <v>-2505.4554884099998</v>
      </c>
      <c r="P75">
        <v>-2493.6747428899998</v>
      </c>
      <c r="Q75">
        <f t="shared" si="5"/>
        <v>-8526.3674593199994</v>
      </c>
      <c r="R75">
        <f t="shared" si="6"/>
        <v>-1010.4438132400001</v>
      </c>
      <c r="S75">
        <f t="shared" si="7"/>
        <v>-9536.8112725600004</v>
      </c>
      <c r="T75">
        <v>-8526.3674593199994</v>
      </c>
      <c r="U75">
        <v>-1010.4438132400001</v>
      </c>
      <c r="V75">
        <f t="shared" si="8"/>
        <v>-9536.8112725600004</v>
      </c>
      <c r="W75">
        <f t="shared" si="9"/>
        <v>0</v>
      </c>
    </row>
    <row r="76" spans="1:23" x14ac:dyDescent="0.25">
      <c r="A76" s="1">
        <v>45949.730057870373</v>
      </c>
      <c r="B76">
        <v>19</v>
      </c>
      <c r="C76" t="s">
        <v>17</v>
      </c>
      <c r="D76">
        <v>37347.784699999997</v>
      </c>
      <c r="E76">
        <v>0.16969999999999999</v>
      </c>
      <c r="F76">
        <v>0</v>
      </c>
      <c r="G76">
        <v>5000</v>
      </c>
      <c r="H76">
        <v>2043.1365296700001</v>
      </c>
      <c r="I76">
        <v>22.614999999999998</v>
      </c>
      <c r="J76">
        <v>22.584503569999999</v>
      </c>
      <c r="K76">
        <v>0</v>
      </c>
      <c r="L76">
        <v>0</v>
      </c>
      <c r="M76">
        <v>-2499.41945287</v>
      </c>
      <c r="N76">
        <v>510.90591919000002</v>
      </c>
      <c r="O76">
        <v>-1986.71679503</v>
      </c>
      <c r="P76">
        <v>-1988.5135336799999</v>
      </c>
      <c r="Q76">
        <f t="shared" si="5"/>
        <v>-7499.41945287</v>
      </c>
      <c r="R76">
        <f t="shared" si="6"/>
        <v>-1532.23061048</v>
      </c>
      <c r="S76">
        <f t="shared" si="7"/>
        <v>-9031.65006335</v>
      </c>
      <c r="T76">
        <v>-7499.41945287</v>
      </c>
      <c r="U76">
        <v>-1532.23061048</v>
      </c>
      <c r="V76">
        <f t="shared" si="8"/>
        <v>-9031.65006335</v>
      </c>
      <c r="W76">
        <f t="shared" si="9"/>
        <v>0</v>
      </c>
    </row>
    <row r="77" spans="1:23" x14ac:dyDescent="0.25">
      <c r="A77" s="1">
        <v>45949.730057870373</v>
      </c>
      <c r="B77">
        <v>19</v>
      </c>
      <c r="C77" t="s">
        <v>18</v>
      </c>
      <c r="D77">
        <v>41673.885999999999</v>
      </c>
      <c r="E77">
        <v>0</v>
      </c>
      <c r="F77">
        <v>0</v>
      </c>
      <c r="G77">
        <v>5000</v>
      </c>
      <c r="H77">
        <v>2043.1365296700001</v>
      </c>
      <c r="I77">
        <v>27.071999999999999</v>
      </c>
      <c r="J77">
        <v>27.235570809999999</v>
      </c>
      <c r="K77">
        <v>0</v>
      </c>
      <c r="L77">
        <v>0</v>
      </c>
      <c r="M77">
        <v>-3526.3674593199999</v>
      </c>
      <c r="N77">
        <v>1032.69271643</v>
      </c>
      <c r="O77">
        <v>-2498.5687056400002</v>
      </c>
      <c r="P77">
        <v>-2493.6747428899998</v>
      </c>
      <c r="Q77">
        <f t="shared" si="5"/>
        <v>-8526.3674593199994</v>
      </c>
      <c r="R77">
        <f t="shared" si="6"/>
        <v>-1010.4438132400001</v>
      </c>
      <c r="S77">
        <f t="shared" si="7"/>
        <v>-9536.8112725600004</v>
      </c>
      <c r="T77">
        <v>-8526.3674593199994</v>
      </c>
      <c r="U77">
        <v>-1010.4438132400001</v>
      </c>
      <c r="V77">
        <f t="shared" si="8"/>
        <v>-9536.8112725600004</v>
      </c>
      <c r="W77">
        <f t="shared" si="9"/>
        <v>0</v>
      </c>
    </row>
    <row r="78" spans="1:23" x14ac:dyDescent="0.25">
      <c r="A78" s="1">
        <v>45949.730057870373</v>
      </c>
      <c r="B78">
        <v>19</v>
      </c>
      <c r="C78" t="s">
        <v>19</v>
      </c>
      <c r="D78">
        <v>33415.691899999998</v>
      </c>
      <c r="E78">
        <v>0.25</v>
      </c>
      <c r="F78">
        <v>416.91460000000001</v>
      </c>
      <c r="G78">
        <v>5000</v>
      </c>
      <c r="H78">
        <v>2043.1365296700001</v>
      </c>
      <c r="I78">
        <v>18.385000000000002</v>
      </c>
      <c r="J78">
        <v>18.246278740000001</v>
      </c>
      <c r="K78">
        <v>11.061999999999999</v>
      </c>
      <c r="L78">
        <v>10.98328356</v>
      </c>
      <c r="M78">
        <v>-1696.5884619999999</v>
      </c>
      <c r="N78">
        <v>-291.92507167999997</v>
      </c>
      <c r="O78">
        <v>-2013.62622678</v>
      </c>
      <c r="P78">
        <v>-1988.51353367</v>
      </c>
      <c r="Q78">
        <f t="shared" si="5"/>
        <v>-6696.5884619999997</v>
      </c>
      <c r="R78">
        <f t="shared" si="6"/>
        <v>-2335.0616013500003</v>
      </c>
      <c r="S78">
        <f t="shared" si="7"/>
        <v>-9031.65006335</v>
      </c>
      <c r="T78">
        <v>-6696.5884619999997</v>
      </c>
      <c r="U78">
        <v>-2335.0616013499998</v>
      </c>
      <c r="V78">
        <f t="shared" si="8"/>
        <v>-9031.65006335</v>
      </c>
      <c r="W78">
        <f t="shared" si="9"/>
        <v>0</v>
      </c>
    </row>
    <row r="79" spans="1:23" x14ac:dyDescent="0.25">
      <c r="A79" s="1">
        <v>45949.730254629627</v>
      </c>
      <c r="B79">
        <v>20</v>
      </c>
      <c r="C79" t="s">
        <v>16</v>
      </c>
      <c r="D79">
        <v>52794.373800000001</v>
      </c>
      <c r="E79">
        <v>0</v>
      </c>
      <c r="F79">
        <v>0</v>
      </c>
      <c r="G79">
        <v>5000</v>
      </c>
      <c r="H79">
        <v>-2103.88777626</v>
      </c>
      <c r="I79">
        <v>31.417999999999999</v>
      </c>
      <c r="J79">
        <v>31.263855320000001</v>
      </c>
      <c r="K79">
        <v>100</v>
      </c>
      <c r="L79">
        <v>100</v>
      </c>
      <c r="M79">
        <v>-2825.07149089</v>
      </c>
      <c r="N79">
        <v>-4728.4378920400004</v>
      </c>
      <c r="O79">
        <v>-7548.9137682099999</v>
      </c>
      <c r="P79">
        <v>-7553.5093829400003</v>
      </c>
      <c r="Q79">
        <f t="shared" si="5"/>
        <v>-7825.07149089</v>
      </c>
      <c r="R79">
        <f t="shared" si="6"/>
        <v>-2624.5501157800004</v>
      </c>
      <c r="S79">
        <f t="shared" si="7"/>
        <v>-10449.62160667</v>
      </c>
      <c r="T79">
        <v>-7825.07149089</v>
      </c>
      <c r="U79">
        <v>-2624.5501157799999</v>
      </c>
      <c r="V79">
        <f t="shared" si="8"/>
        <v>-10449.62160667</v>
      </c>
      <c r="W79">
        <f t="shared" si="9"/>
        <v>0</v>
      </c>
    </row>
    <row r="80" spans="1:23" x14ac:dyDescent="0.25">
      <c r="A80" s="1">
        <v>45949.730254629627</v>
      </c>
      <c r="B80">
        <v>20</v>
      </c>
      <c r="C80" t="s">
        <v>17</v>
      </c>
      <c r="D80">
        <v>51452.535100000001</v>
      </c>
      <c r="E80">
        <v>5.2600000000000001E-2</v>
      </c>
      <c r="F80">
        <v>0</v>
      </c>
      <c r="G80">
        <v>5000</v>
      </c>
      <c r="H80">
        <v>-2103.88777626</v>
      </c>
      <c r="I80">
        <v>30.95</v>
      </c>
      <c r="J80">
        <v>30.910080310000001</v>
      </c>
      <c r="K80">
        <v>100</v>
      </c>
      <c r="L80">
        <v>100</v>
      </c>
      <c r="M80">
        <v>-2744.9615321900001</v>
      </c>
      <c r="N80">
        <v>-4728.0145256200003</v>
      </c>
      <c r="O80">
        <v>-7497.5404032599999</v>
      </c>
      <c r="P80">
        <v>-7472.9760578100004</v>
      </c>
      <c r="Q80">
        <f t="shared" si="5"/>
        <v>-7744.9615321900001</v>
      </c>
      <c r="R80">
        <f t="shared" si="6"/>
        <v>-2624.1267493600003</v>
      </c>
      <c r="S80">
        <f t="shared" si="7"/>
        <v>-10369.088281550001</v>
      </c>
      <c r="T80">
        <v>-7744.9615321900001</v>
      </c>
      <c r="U80">
        <v>-2624.1267493599998</v>
      </c>
      <c r="V80">
        <f t="shared" si="8"/>
        <v>-10369.088281550001</v>
      </c>
      <c r="W80">
        <f t="shared" si="9"/>
        <v>0</v>
      </c>
    </row>
    <row r="81" spans="1:23" x14ac:dyDescent="0.25">
      <c r="A81" s="1">
        <v>45949.730254629627</v>
      </c>
      <c r="B81">
        <v>20</v>
      </c>
      <c r="C81" t="s">
        <v>18</v>
      </c>
      <c r="D81">
        <v>40386.100400000003</v>
      </c>
      <c r="E81">
        <v>0</v>
      </c>
      <c r="F81">
        <v>3149.5904999999998</v>
      </c>
      <c r="G81">
        <v>5000</v>
      </c>
      <c r="H81">
        <v>-2103.88777626</v>
      </c>
      <c r="I81">
        <v>16.760000000000002</v>
      </c>
      <c r="J81">
        <v>16.692232570000002</v>
      </c>
      <c r="K81">
        <v>91.417000000000002</v>
      </c>
      <c r="L81">
        <v>91.306421670000006</v>
      </c>
      <c r="M81">
        <v>-1170.1445767499999</v>
      </c>
      <c r="N81">
        <v>-2963.5253236399999</v>
      </c>
      <c r="O81">
        <v>-4153.8069749699998</v>
      </c>
      <c r="P81">
        <v>-4133.6699003900003</v>
      </c>
      <c r="Q81">
        <f t="shared" si="5"/>
        <v>-6170.1445767499999</v>
      </c>
      <c r="R81">
        <f t="shared" si="6"/>
        <v>-859.63754737999989</v>
      </c>
      <c r="S81">
        <f t="shared" si="7"/>
        <v>-7029.7821241299998</v>
      </c>
      <c r="T81">
        <v>-6170.1445767499999</v>
      </c>
      <c r="U81">
        <v>-859.63754738</v>
      </c>
      <c r="V81">
        <f t="shared" si="8"/>
        <v>-7029.7821241299998</v>
      </c>
      <c r="W81">
        <f t="shared" si="9"/>
        <v>0</v>
      </c>
    </row>
    <row r="82" spans="1:23" x14ac:dyDescent="0.25">
      <c r="A82" s="1">
        <v>45949.730254629627</v>
      </c>
      <c r="B82">
        <v>20</v>
      </c>
      <c r="C82" t="s">
        <v>19</v>
      </c>
      <c r="D82">
        <v>39629.358899999999</v>
      </c>
      <c r="E82">
        <v>1.6199999999999999E-2</v>
      </c>
      <c r="F82">
        <v>3236.5079000000001</v>
      </c>
      <c r="G82">
        <v>5000</v>
      </c>
      <c r="H82">
        <v>-2103.88777626</v>
      </c>
      <c r="I82">
        <v>15.840999999999999</v>
      </c>
      <c r="J82">
        <v>15.78862636</v>
      </c>
      <c r="K82">
        <v>90.641000000000005</v>
      </c>
      <c r="L82">
        <v>90.662722560000006</v>
      </c>
      <c r="M82">
        <v>-1099.4865181</v>
      </c>
      <c r="N82">
        <v>-3018.4773418599998</v>
      </c>
      <c r="O82">
        <v>-4119.0780316399996</v>
      </c>
      <c r="P82">
        <v>-4117.9638599600003</v>
      </c>
      <c r="Q82">
        <f t="shared" si="5"/>
        <v>-6099.4865181000005</v>
      </c>
      <c r="R82">
        <f t="shared" si="6"/>
        <v>-914.58956559999979</v>
      </c>
      <c r="S82">
        <f t="shared" si="7"/>
        <v>-7014.0760836999998</v>
      </c>
      <c r="T82">
        <v>-6099.4858386300002</v>
      </c>
      <c r="U82">
        <v>-914.59024508000005</v>
      </c>
      <c r="V82">
        <f t="shared" si="8"/>
        <v>-7014.0760837100006</v>
      </c>
      <c r="W82">
        <f t="shared" si="9"/>
        <v>0</v>
      </c>
    </row>
    <row r="83" spans="1:23" x14ac:dyDescent="0.25">
      <c r="A83" s="1">
        <v>45949.730428240742</v>
      </c>
      <c r="B83">
        <v>21</v>
      </c>
      <c r="C83" t="s">
        <v>16</v>
      </c>
      <c r="D83">
        <v>75714.350699999995</v>
      </c>
      <c r="E83">
        <v>0</v>
      </c>
      <c r="F83">
        <v>0</v>
      </c>
      <c r="G83">
        <v>5000</v>
      </c>
      <c r="H83">
        <v>-5381.63544938</v>
      </c>
      <c r="I83">
        <v>45.064</v>
      </c>
      <c r="J83">
        <v>44.995300030000003</v>
      </c>
      <c r="K83">
        <v>100</v>
      </c>
      <c r="L83">
        <v>100</v>
      </c>
      <c r="M83">
        <v>-3845.8957944799999</v>
      </c>
      <c r="N83">
        <v>-16637.016425500002</v>
      </c>
      <c r="O83">
        <v>-20434.904981340002</v>
      </c>
      <c r="P83">
        <v>-20482.91221998</v>
      </c>
      <c r="Q83">
        <f t="shared" si="5"/>
        <v>-8845.8957944800004</v>
      </c>
      <c r="R83">
        <f t="shared" si="6"/>
        <v>-11255.380976120003</v>
      </c>
      <c r="S83">
        <f t="shared" si="7"/>
        <v>-20101.276770600001</v>
      </c>
      <c r="T83">
        <v>-8845.8957944800004</v>
      </c>
      <c r="U83">
        <v>-11255.38097613</v>
      </c>
      <c r="V83">
        <f t="shared" si="8"/>
        <v>-20101.276770609998</v>
      </c>
      <c r="W83">
        <f t="shared" si="9"/>
        <v>0</v>
      </c>
    </row>
    <row r="84" spans="1:23" x14ac:dyDescent="0.25">
      <c r="A84" s="1">
        <v>45949.730428240742</v>
      </c>
      <c r="B84">
        <v>21</v>
      </c>
      <c r="C84" t="s">
        <v>17</v>
      </c>
      <c r="D84">
        <v>68161.243700000006</v>
      </c>
      <c r="E84">
        <v>0.29620000000000002</v>
      </c>
      <c r="F84">
        <v>0</v>
      </c>
      <c r="G84">
        <v>5000</v>
      </c>
      <c r="H84">
        <v>-5381.63544938</v>
      </c>
      <c r="I84">
        <v>44.683999999999997</v>
      </c>
      <c r="J84">
        <v>44.686353609999998</v>
      </c>
      <c r="K84">
        <v>100</v>
      </c>
      <c r="L84">
        <v>100</v>
      </c>
      <c r="M84">
        <v>-3806.5983641100001</v>
      </c>
      <c r="N84">
        <v>-16547.762973770001</v>
      </c>
      <c r="O84">
        <v>-20343.67876241</v>
      </c>
      <c r="P84">
        <v>-20354.361337890001</v>
      </c>
      <c r="Q84">
        <f t="shared" si="5"/>
        <v>-8806.5983641099992</v>
      </c>
      <c r="R84">
        <f t="shared" si="6"/>
        <v>-11166.127524390002</v>
      </c>
      <c r="S84">
        <f t="shared" si="7"/>
        <v>-19972.725888500001</v>
      </c>
      <c r="T84">
        <v>-8806.5983641099992</v>
      </c>
      <c r="U84">
        <v>-11166.127524400001</v>
      </c>
      <c r="V84">
        <f t="shared" si="8"/>
        <v>-19972.725888510002</v>
      </c>
      <c r="W84">
        <f t="shared" si="9"/>
        <v>0</v>
      </c>
    </row>
    <row r="85" spans="1:23" x14ac:dyDescent="0.25">
      <c r="A85" s="1">
        <v>45949.730428240742</v>
      </c>
      <c r="B85">
        <v>21</v>
      </c>
      <c r="C85" t="s">
        <v>18</v>
      </c>
      <c r="D85">
        <v>25906.510600000001</v>
      </c>
      <c r="E85">
        <v>0</v>
      </c>
      <c r="F85">
        <v>15338.8058</v>
      </c>
      <c r="G85">
        <v>5000</v>
      </c>
      <c r="H85">
        <v>-5381.63544938</v>
      </c>
      <c r="I85">
        <v>21.427</v>
      </c>
      <c r="J85">
        <v>21.262933820000001</v>
      </c>
      <c r="K85">
        <v>96.525999999999996</v>
      </c>
      <c r="L85">
        <v>96.555806390000001</v>
      </c>
      <c r="M85">
        <v>-1698.8088660599999</v>
      </c>
      <c r="N85">
        <v>-8319.7942807399995</v>
      </c>
      <c r="O85">
        <v>-10011.138050850001</v>
      </c>
      <c r="P85">
        <v>-10018.603146810001</v>
      </c>
      <c r="Q85">
        <f t="shared" si="5"/>
        <v>-6698.8088660599997</v>
      </c>
      <c r="R85">
        <f t="shared" si="6"/>
        <v>-2938.1588313599996</v>
      </c>
      <c r="S85">
        <f t="shared" si="7"/>
        <v>-9636.9676974199992</v>
      </c>
      <c r="T85">
        <v>-6698.8088660599997</v>
      </c>
      <c r="U85">
        <v>-2938.1588313699999</v>
      </c>
      <c r="V85">
        <f t="shared" si="8"/>
        <v>-9636.96769743</v>
      </c>
      <c r="W85">
        <f t="shared" si="9"/>
        <v>0</v>
      </c>
    </row>
    <row r="86" spans="1:23" x14ac:dyDescent="0.25">
      <c r="A86" s="1">
        <v>45949.730428240742</v>
      </c>
      <c r="B86">
        <v>21</v>
      </c>
      <c r="C86" t="s">
        <v>19</v>
      </c>
      <c r="D86">
        <v>25096.165799999999</v>
      </c>
      <c r="E86">
        <v>2.3699999999999999E-2</v>
      </c>
      <c r="F86">
        <v>15402.3694</v>
      </c>
      <c r="G86">
        <v>5000</v>
      </c>
      <c r="H86">
        <v>-5381.63544938</v>
      </c>
      <c r="I86">
        <v>21.183</v>
      </c>
      <c r="J86">
        <v>21.114273019999999</v>
      </c>
      <c r="K86">
        <v>96.450999999999993</v>
      </c>
      <c r="L86">
        <v>96.466977790000001</v>
      </c>
      <c r="M86">
        <v>-1687.4270001699999</v>
      </c>
      <c r="N86">
        <v>-8316.5788231900005</v>
      </c>
      <c r="O86">
        <v>-10009.43976127</v>
      </c>
      <c r="P86">
        <v>-10004.005823359999</v>
      </c>
      <c r="Q86">
        <f t="shared" si="5"/>
        <v>-6687.4270001699997</v>
      </c>
      <c r="R86">
        <f t="shared" si="6"/>
        <v>-2934.9433738100006</v>
      </c>
      <c r="S86">
        <f t="shared" si="7"/>
        <v>-9622.3703739800003</v>
      </c>
      <c r="T86">
        <v>-6687.4267638199999</v>
      </c>
      <c r="U86">
        <v>-2934.9436101699998</v>
      </c>
      <c r="V86">
        <f t="shared" si="8"/>
        <v>-9622.3703739899993</v>
      </c>
      <c r="W86">
        <f t="shared" si="9"/>
        <v>0</v>
      </c>
    </row>
    <row r="87" spans="1:23" x14ac:dyDescent="0.25">
      <c r="A87" s="1">
        <v>45949.730497685188</v>
      </c>
      <c r="B87">
        <v>22</v>
      </c>
      <c r="C87" t="s">
        <v>16</v>
      </c>
      <c r="D87">
        <v>37261.088199999998</v>
      </c>
      <c r="E87">
        <v>0</v>
      </c>
      <c r="F87">
        <v>0</v>
      </c>
      <c r="G87">
        <v>5000</v>
      </c>
      <c r="H87">
        <v>-10298.30998715</v>
      </c>
      <c r="I87">
        <v>30.076000000000001</v>
      </c>
      <c r="J87">
        <v>30.001638710000002</v>
      </c>
      <c r="K87">
        <v>100</v>
      </c>
      <c r="L87">
        <v>100</v>
      </c>
      <c r="M87">
        <v>-5440.15611825</v>
      </c>
      <c r="N87">
        <v>-14931.226080369999</v>
      </c>
      <c r="O87">
        <v>-20371.223457349999</v>
      </c>
      <c r="P87">
        <v>-20371.382198619998</v>
      </c>
      <c r="Q87">
        <f t="shared" si="5"/>
        <v>-10440.156118250001</v>
      </c>
      <c r="R87">
        <f t="shared" si="6"/>
        <v>-4632.9160932199993</v>
      </c>
      <c r="S87">
        <f t="shared" si="7"/>
        <v>-15073.07221147</v>
      </c>
      <c r="T87">
        <v>-10440.156118250001</v>
      </c>
      <c r="U87">
        <v>-4632.9160932200002</v>
      </c>
      <c r="V87">
        <f t="shared" si="8"/>
        <v>-15073.07221147</v>
      </c>
      <c r="W87">
        <f t="shared" si="9"/>
        <v>0</v>
      </c>
    </row>
    <row r="88" spans="1:23" x14ac:dyDescent="0.25">
      <c r="A88" s="1">
        <v>45949.730497685188</v>
      </c>
      <c r="B88">
        <v>22</v>
      </c>
      <c r="C88" t="s">
        <v>17</v>
      </c>
      <c r="D88">
        <v>29894.3475</v>
      </c>
      <c r="E88">
        <v>0.28889999999999999</v>
      </c>
      <c r="F88">
        <v>0</v>
      </c>
      <c r="G88">
        <v>5000</v>
      </c>
      <c r="H88">
        <v>-10298.30998715</v>
      </c>
      <c r="I88">
        <v>21.692</v>
      </c>
      <c r="J88">
        <v>21.877189619999999</v>
      </c>
      <c r="K88">
        <v>100</v>
      </c>
      <c r="L88">
        <v>100</v>
      </c>
      <c r="M88">
        <v>-2619.3486713900002</v>
      </c>
      <c r="N88">
        <v>-16656.39768609</v>
      </c>
      <c r="O88">
        <v>-19278.170701120001</v>
      </c>
      <c r="P88">
        <v>-19275.746357479999</v>
      </c>
      <c r="Q88">
        <f t="shared" si="5"/>
        <v>-7619.3486713900002</v>
      </c>
      <c r="R88">
        <f t="shared" si="6"/>
        <v>-6358.0876989400003</v>
      </c>
      <c r="S88">
        <f t="shared" si="7"/>
        <v>-13977.43637033</v>
      </c>
      <c r="T88">
        <v>-7619.3486713900002</v>
      </c>
      <c r="U88">
        <v>-6358.0876989400003</v>
      </c>
      <c r="V88">
        <f t="shared" si="8"/>
        <v>-13977.43637033</v>
      </c>
      <c r="W88">
        <f t="shared" si="9"/>
        <v>0</v>
      </c>
    </row>
    <row r="89" spans="1:23" x14ac:dyDescent="0.25">
      <c r="A89" s="1">
        <v>45949.730497685188</v>
      </c>
      <c r="B89">
        <v>22</v>
      </c>
      <c r="C89" t="s">
        <v>18</v>
      </c>
      <c r="D89">
        <v>30008.175999999999</v>
      </c>
      <c r="E89">
        <v>0</v>
      </c>
      <c r="F89">
        <v>1500.4141</v>
      </c>
      <c r="G89">
        <v>5000</v>
      </c>
      <c r="H89">
        <v>-10298.30998715</v>
      </c>
      <c r="I89">
        <v>27.378</v>
      </c>
      <c r="J89">
        <v>27.439163189999999</v>
      </c>
      <c r="K89">
        <v>100</v>
      </c>
      <c r="L89">
        <v>100</v>
      </c>
      <c r="M89">
        <v>-5873.3077991600003</v>
      </c>
      <c r="N89">
        <v>-10752.0959184</v>
      </c>
      <c r="O89">
        <v>-16650.08506972</v>
      </c>
      <c r="P89">
        <v>-16625.403717559999</v>
      </c>
      <c r="Q89">
        <f t="shared" si="5"/>
        <v>-10873.30779916</v>
      </c>
      <c r="R89">
        <f t="shared" si="6"/>
        <v>-453.78593125000043</v>
      </c>
      <c r="S89">
        <f t="shared" si="7"/>
        <v>-11327.093730410001</v>
      </c>
      <c r="T89">
        <v>-10873.30779916</v>
      </c>
      <c r="U89">
        <v>-453.78593124999998</v>
      </c>
      <c r="V89">
        <f t="shared" si="8"/>
        <v>-11327.093730410001</v>
      </c>
      <c r="W89">
        <f t="shared" si="9"/>
        <v>0</v>
      </c>
    </row>
    <row r="90" spans="1:23" x14ac:dyDescent="0.25">
      <c r="A90" s="1">
        <v>45949.730497685188</v>
      </c>
      <c r="B90">
        <v>22</v>
      </c>
      <c r="C90" t="s">
        <v>19</v>
      </c>
      <c r="D90">
        <v>16957.506700000002</v>
      </c>
      <c r="E90">
        <v>0.5</v>
      </c>
      <c r="F90">
        <v>1562.6137000000001</v>
      </c>
      <c r="G90">
        <v>5000</v>
      </c>
      <c r="H90">
        <v>-10298.30998715</v>
      </c>
      <c r="I90">
        <v>6.3529999999999998</v>
      </c>
      <c r="J90">
        <v>6.4241684100000001</v>
      </c>
      <c r="K90">
        <v>100</v>
      </c>
      <c r="L90">
        <v>100</v>
      </c>
      <c r="M90">
        <v>-352.99573531999999</v>
      </c>
      <c r="N90">
        <v>-16182.12225685</v>
      </c>
      <c r="O90">
        <v>-16516.012668110001</v>
      </c>
      <c r="P90">
        <v>-16535.117992160001</v>
      </c>
      <c r="Q90">
        <f t="shared" si="5"/>
        <v>-5352.9957353199998</v>
      </c>
      <c r="R90">
        <f t="shared" si="6"/>
        <v>-5883.8122696999999</v>
      </c>
      <c r="S90">
        <f t="shared" si="7"/>
        <v>-11236.808005020001</v>
      </c>
      <c r="T90">
        <v>-5352.9984483799999</v>
      </c>
      <c r="U90">
        <v>-5883.8095566299999</v>
      </c>
      <c r="V90">
        <f t="shared" si="8"/>
        <v>-11236.80800501</v>
      </c>
      <c r="W90">
        <f t="shared" si="9"/>
        <v>0</v>
      </c>
    </row>
    <row r="91" spans="1:23" x14ac:dyDescent="0.25">
      <c r="A91" s="1">
        <v>45949.730671296296</v>
      </c>
      <c r="B91">
        <v>23</v>
      </c>
      <c r="C91" t="s">
        <v>16</v>
      </c>
      <c r="D91">
        <v>37261.088199999998</v>
      </c>
      <c r="E91">
        <v>0</v>
      </c>
      <c r="F91">
        <v>0</v>
      </c>
      <c r="G91">
        <v>5000</v>
      </c>
      <c r="H91">
        <v>-4332.11024421</v>
      </c>
      <c r="I91">
        <v>30.251999999999999</v>
      </c>
      <c r="J91">
        <v>30.001638710000002</v>
      </c>
      <c r="K91">
        <v>100</v>
      </c>
      <c r="L91">
        <v>100</v>
      </c>
      <c r="M91">
        <v>-5440.15611825</v>
      </c>
      <c r="N91">
        <v>-6281.0031492600001</v>
      </c>
      <c r="O91">
        <v>-11726.387412350001</v>
      </c>
      <c r="P91">
        <v>-11721.159267520001</v>
      </c>
      <c r="Q91">
        <f t="shared" si="5"/>
        <v>-10440.156118250001</v>
      </c>
      <c r="R91">
        <f t="shared" si="6"/>
        <v>-1948.8929050500001</v>
      </c>
      <c r="S91">
        <f t="shared" si="7"/>
        <v>-12389.049023300002</v>
      </c>
      <c r="T91">
        <v>-10440.156118250001</v>
      </c>
      <c r="U91">
        <v>-1948.89290506</v>
      </c>
      <c r="V91">
        <f t="shared" si="8"/>
        <v>-12389.049023310001</v>
      </c>
      <c r="W91">
        <f t="shared" si="9"/>
        <v>0</v>
      </c>
    </row>
    <row r="92" spans="1:23" x14ac:dyDescent="0.25">
      <c r="A92" s="1">
        <v>45949.730671296296</v>
      </c>
      <c r="B92">
        <v>23</v>
      </c>
      <c r="C92" t="s">
        <v>17</v>
      </c>
      <c r="D92">
        <v>33188.9349</v>
      </c>
      <c r="E92">
        <v>0.15970000000000001</v>
      </c>
      <c r="F92">
        <v>0</v>
      </c>
      <c r="G92">
        <v>5000</v>
      </c>
      <c r="H92">
        <v>-4332.11024421</v>
      </c>
      <c r="I92">
        <v>26.132000000000001</v>
      </c>
      <c r="J92">
        <v>26.201145140000001</v>
      </c>
      <c r="K92">
        <v>100</v>
      </c>
      <c r="L92">
        <v>100</v>
      </c>
      <c r="M92">
        <v>-3876.5068589500002</v>
      </c>
      <c r="N92">
        <v>-7371.4136817799999</v>
      </c>
      <c r="O92">
        <v>-11276.715272650001</v>
      </c>
      <c r="P92">
        <v>-11247.920540720001</v>
      </c>
      <c r="Q92">
        <f t="shared" si="5"/>
        <v>-8876.5068589500006</v>
      </c>
      <c r="R92">
        <f t="shared" si="6"/>
        <v>-3039.3034375699999</v>
      </c>
      <c r="S92">
        <f t="shared" si="7"/>
        <v>-11915.810296520001</v>
      </c>
      <c r="T92">
        <v>-8876.5068589500006</v>
      </c>
      <c r="U92">
        <v>-3039.3034375699999</v>
      </c>
      <c r="V92">
        <f t="shared" si="8"/>
        <v>-11915.810296520001</v>
      </c>
      <c r="W92">
        <f t="shared" si="9"/>
        <v>0</v>
      </c>
    </row>
    <row r="93" spans="1:23" x14ac:dyDescent="0.25">
      <c r="A93" s="1">
        <v>45949.730671296296</v>
      </c>
      <c r="B93">
        <v>23</v>
      </c>
      <c r="C93" t="s">
        <v>18</v>
      </c>
      <c r="D93">
        <v>33887.534099999997</v>
      </c>
      <c r="E93">
        <v>0</v>
      </c>
      <c r="F93">
        <v>697.88909999999998</v>
      </c>
      <c r="G93">
        <v>5000</v>
      </c>
      <c r="H93">
        <v>-4332.11024421</v>
      </c>
      <c r="I93">
        <v>28.882000000000001</v>
      </c>
      <c r="J93">
        <v>28.809751970000001</v>
      </c>
      <c r="K93">
        <v>100</v>
      </c>
      <c r="L93">
        <v>100</v>
      </c>
      <c r="M93">
        <v>-5291.2444408399997</v>
      </c>
      <c r="N93">
        <v>-4480.2493369100002</v>
      </c>
      <c r="O93">
        <v>-9762.0829281099996</v>
      </c>
      <c r="P93">
        <v>-9771.4937777399991</v>
      </c>
      <c r="Q93">
        <f t="shared" si="5"/>
        <v>-10291.244440840001</v>
      </c>
      <c r="R93">
        <f t="shared" si="6"/>
        <v>-148.13909270000022</v>
      </c>
      <c r="S93">
        <f t="shared" si="7"/>
        <v>-10439.38353354</v>
      </c>
      <c r="T93">
        <v>-10291.244440840001</v>
      </c>
      <c r="U93">
        <v>-148.13909269999999</v>
      </c>
      <c r="V93">
        <f t="shared" si="8"/>
        <v>-10439.38353354</v>
      </c>
      <c r="W93">
        <f t="shared" si="9"/>
        <v>0</v>
      </c>
    </row>
    <row r="94" spans="1:23" x14ac:dyDescent="0.25">
      <c r="A94" s="1">
        <v>45949.730671296296</v>
      </c>
      <c r="B94">
        <v>23</v>
      </c>
      <c r="C94" t="s">
        <v>19</v>
      </c>
      <c r="D94">
        <v>26017.285899999999</v>
      </c>
      <c r="E94">
        <v>0.25</v>
      </c>
      <c r="F94">
        <v>1007.2119</v>
      </c>
      <c r="G94">
        <v>5000</v>
      </c>
      <c r="H94">
        <v>-4332.11024421</v>
      </c>
      <c r="I94">
        <v>20.942</v>
      </c>
      <c r="J94">
        <v>21.041968440000002</v>
      </c>
      <c r="K94">
        <v>98.801000000000002</v>
      </c>
      <c r="L94">
        <v>98.768365840000001</v>
      </c>
      <c r="M94">
        <v>-2704.8749558099998</v>
      </c>
      <c r="N94">
        <v>-6984.9076414199999</v>
      </c>
      <c r="O94">
        <v>-9679.6424922099995</v>
      </c>
      <c r="P94">
        <v>-9689.7825972299997</v>
      </c>
      <c r="Q94">
        <f t="shared" si="5"/>
        <v>-7704.8749558099998</v>
      </c>
      <c r="R94">
        <f t="shared" si="6"/>
        <v>-2652.7973972099999</v>
      </c>
      <c r="S94">
        <f t="shared" si="7"/>
        <v>-10357.67235302</v>
      </c>
      <c r="T94">
        <v>-7704.8754845599997</v>
      </c>
      <c r="U94">
        <v>-2652.7968684699999</v>
      </c>
      <c r="V94">
        <f t="shared" si="8"/>
        <v>-10357.672353030001</v>
      </c>
      <c r="W94">
        <f t="shared" si="9"/>
        <v>0</v>
      </c>
    </row>
    <row r="95" spans="1:23" x14ac:dyDescent="0.25">
      <c r="A95" s="1">
        <v>45949.730752314812</v>
      </c>
      <c r="B95">
        <v>24</v>
      </c>
      <c r="C95" t="s">
        <v>16</v>
      </c>
      <c r="D95">
        <v>37261.088199999998</v>
      </c>
      <c r="E95">
        <v>0</v>
      </c>
      <c r="F95">
        <v>0</v>
      </c>
      <c r="G95">
        <v>5000</v>
      </c>
      <c r="H95">
        <v>13566.48898461</v>
      </c>
      <c r="I95">
        <v>29.745000000000001</v>
      </c>
      <c r="J95">
        <v>30.001638710000002</v>
      </c>
      <c r="K95">
        <v>0</v>
      </c>
      <c r="L95">
        <v>0</v>
      </c>
      <c r="M95">
        <v>-5440.15611825</v>
      </c>
      <c r="N95">
        <v>8750.2094216599999</v>
      </c>
      <c r="O95">
        <v>3332.1174378300002</v>
      </c>
      <c r="P95">
        <v>3310.0533034099999</v>
      </c>
      <c r="Q95">
        <f t="shared" si="5"/>
        <v>-10440.156118250001</v>
      </c>
      <c r="R95">
        <f t="shared" si="6"/>
        <v>-4816.2795629499997</v>
      </c>
      <c r="S95">
        <f t="shared" si="7"/>
        <v>-15256.435681200001</v>
      </c>
      <c r="T95">
        <v>-10440.156118250001</v>
      </c>
      <c r="U95">
        <v>-4816.2795629399998</v>
      </c>
      <c r="V95">
        <f t="shared" si="8"/>
        <v>-15256.43568119</v>
      </c>
      <c r="W95">
        <f t="shared" si="9"/>
        <v>0</v>
      </c>
    </row>
    <row r="96" spans="1:23" x14ac:dyDescent="0.25">
      <c r="A96" s="1">
        <v>45949.730752314812</v>
      </c>
      <c r="B96">
        <v>24</v>
      </c>
      <c r="C96" t="s">
        <v>17</v>
      </c>
      <c r="D96">
        <v>22581.545600000001</v>
      </c>
      <c r="E96">
        <v>0.57569999999999999</v>
      </c>
      <c r="F96">
        <v>0</v>
      </c>
      <c r="G96">
        <v>5000</v>
      </c>
      <c r="H96">
        <v>13566.48898461</v>
      </c>
      <c r="I96">
        <v>7.5220000000000002</v>
      </c>
      <c r="J96">
        <v>7.4394829299999996</v>
      </c>
      <c r="K96">
        <v>0</v>
      </c>
      <c r="L96">
        <v>0</v>
      </c>
      <c r="M96">
        <v>-381.36221954000001</v>
      </c>
      <c r="N96">
        <v>6265.8748718300003</v>
      </c>
      <c r="O96">
        <v>5908.6415510699999</v>
      </c>
      <c r="P96">
        <v>5884.5126522999999</v>
      </c>
      <c r="Q96">
        <f t="shared" si="5"/>
        <v>-5381.3622195400003</v>
      </c>
      <c r="R96">
        <f t="shared" si="6"/>
        <v>-7300.6141127799992</v>
      </c>
      <c r="S96">
        <f t="shared" si="7"/>
        <v>-12681.976332319999</v>
      </c>
      <c r="T96">
        <v>-5381.3622195400003</v>
      </c>
      <c r="U96">
        <v>-7300.6141127700002</v>
      </c>
      <c r="V96">
        <f t="shared" si="8"/>
        <v>-12681.976332310001</v>
      </c>
      <c r="W96">
        <f t="shared" si="9"/>
        <v>0</v>
      </c>
    </row>
    <row r="97" spans="1:23" x14ac:dyDescent="0.25">
      <c r="A97" s="1">
        <v>45949.730752314812</v>
      </c>
      <c r="B97">
        <v>24</v>
      </c>
      <c r="C97" t="s">
        <v>18</v>
      </c>
      <c r="D97">
        <v>37261.088199999998</v>
      </c>
      <c r="E97">
        <v>0</v>
      </c>
      <c r="F97">
        <v>0</v>
      </c>
      <c r="G97">
        <v>5000</v>
      </c>
      <c r="H97">
        <v>13566.48898461</v>
      </c>
      <c r="I97">
        <v>29.901</v>
      </c>
      <c r="J97">
        <v>30.001638710000002</v>
      </c>
      <c r="K97">
        <v>0</v>
      </c>
      <c r="L97">
        <v>0</v>
      </c>
      <c r="M97">
        <v>-5440.15611825</v>
      </c>
      <c r="N97">
        <v>8750.2094216599999</v>
      </c>
      <c r="O97">
        <v>3316.8311200399999</v>
      </c>
      <c r="P97">
        <v>3310.0533034099999</v>
      </c>
      <c r="Q97">
        <f t="shared" si="5"/>
        <v>-10440.156118250001</v>
      </c>
      <c r="R97">
        <f t="shared" si="6"/>
        <v>-4816.2795629499997</v>
      </c>
      <c r="S97">
        <f t="shared" si="7"/>
        <v>-15256.435681200001</v>
      </c>
      <c r="T97">
        <v>-10440.156118250001</v>
      </c>
      <c r="U97">
        <v>-4816.2795629399998</v>
      </c>
      <c r="V97">
        <f t="shared" si="8"/>
        <v>-15256.43568119</v>
      </c>
      <c r="W97">
        <f t="shared" si="9"/>
        <v>0</v>
      </c>
    </row>
    <row r="98" spans="1:23" x14ac:dyDescent="0.25">
      <c r="A98" s="1">
        <v>45949.730752314812</v>
      </c>
      <c r="B98">
        <v>24</v>
      </c>
      <c r="C98" t="s">
        <v>19</v>
      </c>
      <c r="D98">
        <v>13690.921899999999</v>
      </c>
      <c r="E98">
        <v>0.75</v>
      </c>
      <c r="F98">
        <v>919.57410000000004</v>
      </c>
      <c r="G98">
        <v>5000</v>
      </c>
      <c r="H98">
        <v>13566.48898461</v>
      </c>
      <c r="I98">
        <v>0</v>
      </c>
      <c r="J98">
        <v>0</v>
      </c>
      <c r="K98">
        <v>0</v>
      </c>
      <c r="L98">
        <v>0</v>
      </c>
      <c r="M98">
        <v>2094.2694270299999</v>
      </c>
      <c r="N98">
        <v>3790.24322527</v>
      </c>
      <c r="O98">
        <v>5885.4203877199998</v>
      </c>
      <c r="P98">
        <v>5884.5126522999999</v>
      </c>
      <c r="Q98">
        <f t="shared" si="5"/>
        <v>-2905.7305729700001</v>
      </c>
      <c r="R98">
        <f t="shared" si="6"/>
        <v>-9776.2457593399995</v>
      </c>
      <c r="S98">
        <f t="shared" si="7"/>
        <v>-12681.97633231</v>
      </c>
      <c r="T98">
        <v>-2905.7305729700001</v>
      </c>
      <c r="U98">
        <v>-9776.2457593399995</v>
      </c>
      <c r="V98">
        <f t="shared" si="8"/>
        <v>-12681.97633231</v>
      </c>
      <c r="W98">
        <f t="shared" si="9"/>
        <v>0</v>
      </c>
    </row>
    <row r="99" spans="1:23" x14ac:dyDescent="0.25">
      <c r="A99" s="1">
        <v>45949.730810185189</v>
      </c>
      <c r="B99">
        <v>25</v>
      </c>
      <c r="C99" t="s">
        <v>16</v>
      </c>
      <c r="D99">
        <v>37261.088199999998</v>
      </c>
      <c r="E99">
        <v>0</v>
      </c>
      <c r="F99">
        <v>0</v>
      </c>
      <c r="G99">
        <v>5000</v>
      </c>
      <c r="H99">
        <v>25498.888470490001</v>
      </c>
      <c r="I99">
        <v>30.184000000000001</v>
      </c>
      <c r="J99">
        <v>30.001638710000002</v>
      </c>
      <c r="K99">
        <v>0</v>
      </c>
      <c r="L99">
        <v>0</v>
      </c>
      <c r="M99">
        <v>-5440.15611825</v>
      </c>
      <c r="N99">
        <v>16446.452312730002</v>
      </c>
      <c r="O99">
        <v>10992.50600764</v>
      </c>
      <c r="P99">
        <v>11006.29619447</v>
      </c>
      <c r="Q99">
        <f t="shared" si="5"/>
        <v>-10440.156118250001</v>
      </c>
      <c r="R99">
        <f t="shared" si="6"/>
        <v>-9052.4361577599993</v>
      </c>
      <c r="S99">
        <f t="shared" si="7"/>
        <v>-19492.59227601</v>
      </c>
      <c r="T99">
        <v>-10440.156118250001</v>
      </c>
      <c r="U99">
        <v>-9052.4361577599993</v>
      </c>
      <c r="V99">
        <f t="shared" si="8"/>
        <v>-19492.59227601</v>
      </c>
      <c r="W99">
        <f t="shared" si="9"/>
        <v>0</v>
      </c>
    </row>
    <row r="100" spans="1:23" x14ac:dyDescent="0.25">
      <c r="A100" s="1">
        <v>45949.730810185189</v>
      </c>
      <c r="B100">
        <v>25</v>
      </c>
      <c r="C100" t="s">
        <v>17</v>
      </c>
      <c r="D100">
        <v>18944.393</v>
      </c>
      <c r="E100">
        <v>0.71830000000000005</v>
      </c>
      <c r="F100">
        <v>0</v>
      </c>
      <c r="G100">
        <v>5000</v>
      </c>
      <c r="H100">
        <v>25498.888470490001</v>
      </c>
      <c r="I100">
        <v>2.1150000000000002</v>
      </c>
      <c r="J100">
        <v>2.1338864100000001</v>
      </c>
      <c r="K100">
        <v>0</v>
      </c>
      <c r="L100">
        <v>0</v>
      </c>
      <c r="M100">
        <v>497.31214198999999</v>
      </c>
      <c r="N100">
        <v>14017.520303339999</v>
      </c>
      <c r="O100">
        <v>14499.4327302</v>
      </c>
      <c r="P100">
        <v>14514.83244534</v>
      </c>
      <c r="Q100">
        <f t="shared" si="5"/>
        <v>-4502.6878580100001</v>
      </c>
      <c r="R100">
        <f t="shared" si="6"/>
        <v>-11481.368167150002</v>
      </c>
      <c r="S100">
        <f t="shared" si="7"/>
        <v>-15984.056025160002</v>
      </c>
      <c r="T100">
        <v>-4502.6878580100001</v>
      </c>
      <c r="U100">
        <v>-11481.368167140001</v>
      </c>
      <c r="V100">
        <f t="shared" si="8"/>
        <v>-15984.056025150001</v>
      </c>
      <c r="W100">
        <f t="shared" si="9"/>
        <v>0</v>
      </c>
    </row>
    <row r="101" spans="1:23" x14ac:dyDescent="0.25">
      <c r="A101" s="1">
        <v>45949.730810185189</v>
      </c>
      <c r="B101">
        <v>25</v>
      </c>
      <c r="C101" t="s">
        <v>18</v>
      </c>
      <c r="D101">
        <v>37261.088199999998</v>
      </c>
      <c r="E101">
        <v>0</v>
      </c>
      <c r="F101">
        <v>0</v>
      </c>
      <c r="G101">
        <v>5000</v>
      </c>
      <c r="H101">
        <v>25498.888470490001</v>
      </c>
      <c r="I101">
        <v>29.94</v>
      </c>
      <c r="J101">
        <v>30.001638710000002</v>
      </c>
      <c r="K101">
        <v>0</v>
      </c>
      <c r="L101">
        <v>0</v>
      </c>
      <c r="M101">
        <v>-5440.15611825</v>
      </c>
      <c r="N101">
        <v>16446.452312730002</v>
      </c>
      <c r="O101">
        <v>11024.449370980001</v>
      </c>
      <c r="P101">
        <v>11006.29619447</v>
      </c>
      <c r="Q101">
        <f t="shared" si="5"/>
        <v>-10440.156118250001</v>
      </c>
      <c r="R101">
        <f t="shared" si="6"/>
        <v>-9052.4361577599993</v>
      </c>
      <c r="S101">
        <f t="shared" si="7"/>
        <v>-19492.59227601</v>
      </c>
      <c r="T101">
        <v>-10440.156118250001</v>
      </c>
      <c r="U101">
        <v>-9052.4361577599993</v>
      </c>
      <c r="V101">
        <f t="shared" si="8"/>
        <v>-19492.59227601</v>
      </c>
      <c r="W101">
        <f t="shared" si="9"/>
        <v>0</v>
      </c>
    </row>
    <row r="102" spans="1:23" x14ac:dyDescent="0.25">
      <c r="A102" s="1">
        <v>45949.730810185189</v>
      </c>
      <c r="B102">
        <v>25</v>
      </c>
      <c r="C102" t="s">
        <v>19</v>
      </c>
      <c r="D102">
        <v>16783.082399999999</v>
      </c>
      <c r="E102">
        <v>0.75</v>
      </c>
      <c r="F102">
        <v>279.89710000000002</v>
      </c>
      <c r="G102">
        <v>5000</v>
      </c>
      <c r="H102">
        <v>25498.888470490001</v>
      </c>
      <c r="I102">
        <v>3.7999999999999999E-2</v>
      </c>
      <c r="J102">
        <v>3.587804E-2</v>
      </c>
      <c r="K102">
        <v>0</v>
      </c>
      <c r="L102">
        <v>0</v>
      </c>
      <c r="M102">
        <v>1118.83410585</v>
      </c>
      <c r="N102">
        <v>13395.998339489999</v>
      </c>
      <c r="O102">
        <v>14501.3792027</v>
      </c>
      <c r="P102">
        <v>14514.83244534</v>
      </c>
      <c r="Q102">
        <f t="shared" si="5"/>
        <v>-3881.16589415</v>
      </c>
      <c r="R102">
        <f t="shared" si="6"/>
        <v>-12102.890131000002</v>
      </c>
      <c r="S102">
        <f t="shared" si="7"/>
        <v>-15984.056025150003</v>
      </c>
      <c r="T102">
        <v>-3881.16589415</v>
      </c>
      <c r="U102">
        <v>-12102.890131</v>
      </c>
      <c r="V102">
        <f t="shared" si="8"/>
        <v>-15984.056025149999</v>
      </c>
      <c r="W102">
        <f t="shared" si="9"/>
        <v>0</v>
      </c>
    </row>
    <row r="103" spans="1:23" x14ac:dyDescent="0.25">
      <c r="A103" s="1">
        <v>45949.730891203704</v>
      </c>
      <c r="B103">
        <v>26</v>
      </c>
      <c r="C103" t="s">
        <v>16</v>
      </c>
      <c r="D103">
        <v>37261.088199999998</v>
      </c>
      <c r="E103">
        <v>0</v>
      </c>
      <c r="F103">
        <v>0</v>
      </c>
      <c r="G103">
        <v>5000</v>
      </c>
      <c r="H103">
        <v>37431.287956369997</v>
      </c>
      <c r="I103">
        <v>30.088000000000001</v>
      </c>
      <c r="J103">
        <v>30.001638710000002</v>
      </c>
      <c r="K103">
        <v>0</v>
      </c>
      <c r="L103">
        <v>0</v>
      </c>
      <c r="M103">
        <v>-5440.15611825</v>
      </c>
      <c r="N103">
        <v>24142.695203790001</v>
      </c>
      <c r="O103">
        <v>18675.533684810001</v>
      </c>
      <c r="P103">
        <v>18702.53908554</v>
      </c>
      <c r="Q103">
        <f t="shared" si="5"/>
        <v>-10440.156118250001</v>
      </c>
      <c r="R103">
        <f t="shared" si="6"/>
        <v>-13288.592752579996</v>
      </c>
      <c r="S103">
        <f t="shared" si="7"/>
        <v>-23728.748870829997</v>
      </c>
      <c r="T103">
        <v>-10440.156118250001</v>
      </c>
      <c r="U103">
        <v>-13288.59275258</v>
      </c>
      <c r="V103">
        <f t="shared" si="8"/>
        <v>-23728.748870830001</v>
      </c>
      <c r="W103">
        <f t="shared" si="9"/>
        <v>0</v>
      </c>
    </row>
    <row r="104" spans="1:23" x14ac:dyDescent="0.25">
      <c r="A104" s="1">
        <v>45949.730891203704</v>
      </c>
      <c r="B104">
        <v>26</v>
      </c>
      <c r="C104" t="s">
        <v>17</v>
      </c>
      <c r="D104">
        <v>17137.270700000001</v>
      </c>
      <c r="E104">
        <v>0.78920000000000001</v>
      </c>
      <c r="F104">
        <v>0</v>
      </c>
      <c r="G104">
        <v>5000</v>
      </c>
      <c r="H104">
        <v>37431.287956369997</v>
      </c>
      <c r="I104">
        <v>0.39</v>
      </c>
      <c r="J104">
        <v>0.45122332999999998</v>
      </c>
      <c r="K104">
        <v>0</v>
      </c>
      <c r="L104">
        <v>0</v>
      </c>
      <c r="M104">
        <v>871.71272309999995</v>
      </c>
      <c r="N104">
        <v>21978.562730279999</v>
      </c>
      <c r="O104">
        <v>22904.528833960001</v>
      </c>
      <c r="P104">
        <v>22850.27545338</v>
      </c>
      <c r="Q104">
        <f t="shared" si="5"/>
        <v>-4128.2872769000005</v>
      </c>
      <c r="R104">
        <f t="shared" si="6"/>
        <v>-15452.725226089999</v>
      </c>
      <c r="S104">
        <f t="shared" si="7"/>
        <v>-19581.012502990001</v>
      </c>
      <c r="T104">
        <v>-4128.2872768999996</v>
      </c>
      <c r="U104">
        <v>-15452.72522608</v>
      </c>
      <c r="V104">
        <f t="shared" si="8"/>
        <v>-19581.01250298</v>
      </c>
      <c r="W104">
        <f t="shared" si="9"/>
        <v>0</v>
      </c>
    </row>
    <row r="105" spans="1:23" x14ac:dyDescent="0.25">
      <c r="A105" s="1">
        <v>45949.730891203704</v>
      </c>
      <c r="B105">
        <v>26</v>
      </c>
      <c r="C105" t="s">
        <v>18</v>
      </c>
      <c r="D105">
        <v>37261.088199999998</v>
      </c>
      <c r="E105">
        <v>0</v>
      </c>
      <c r="F105">
        <v>0</v>
      </c>
      <c r="G105">
        <v>5000</v>
      </c>
      <c r="H105">
        <v>37431.287956369997</v>
      </c>
      <c r="I105">
        <v>30.097999999999999</v>
      </c>
      <c r="J105">
        <v>30.001638710000002</v>
      </c>
      <c r="K105">
        <v>0</v>
      </c>
      <c r="L105">
        <v>0</v>
      </c>
      <c r="M105">
        <v>-5440.15611825</v>
      </c>
      <c r="N105">
        <v>24142.695203790001</v>
      </c>
      <c r="O105">
        <v>18695.03626673</v>
      </c>
      <c r="P105">
        <v>18702.53908554</v>
      </c>
      <c r="Q105">
        <f t="shared" si="5"/>
        <v>-10440.156118250001</v>
      </c>
      <c r="R105">
        <f t="shared" si="6"/>
        <v>-13288.592752579996</v>
      </c>
      <c r="S105">
        <f t="shared" si="7"/>
        <v>-23728.748870829997</v>
      </c>
      <c r="T105">
        <v>-10440.156118250001</v>
      </c>
      <c r="U105">
        <v>-13288.59275258</v>
      </c>
      <c r="V105">
        <f t="shared" si="8"/>
        <v>-23728.748870830001</v>
      </c>
      <c r="W105">
        <f t="shared" si="9"/>
        <v>0</v>
      </c>
    </row>
    <row r="106" spans="1:23" x14ac:dyDescent="0.25">
      <c r="A106" s="1">
        <v>45949.730891203704</v>
      </c>
      <c r="B106">
        <v>26</v>
      </c>
      <c r="C106" t="s">
        <v>19</v>
      </c>
      <c r="D106">
        <v>12467.6139</v>
      </c>
      <c r="E106">
        <v>0.84379999999999999</v>
      </c>
      <c r="F106">
        <v>678.09059999999999</v>
      </c>
      <c r="G106">
        <v>5000</v>
      </c>
      <c r="H106">
        <v>37431.287956369997</v>
      </c>
      <c r="I106">
        <v>0</v>
      </c>
      <c r="J106">
        <v>0</v>
      </c>
      <c r="K106">
        <v>0</v>
      </c>
      <c r="L106">
        <v>0</v>
      </c>
      <c r="M106">
        <v>2259.9731898499999</v>
      </c>
      <c r="N106">
        <v>20590.302263540001</v>
      </c>
      <c r="O106">
        <v>22823.070870399999</v>
      </c>
      <c r="P106">
        <v>22850.275453390001</v>
      </c>
      <c r="Q106">
        <f t="shared" si="5"/>
        <v>-2740.0268101500001</v>
      </c>
      <c r="R106">
        <f t="shared" si="6"/>
        <v>-16840.985692829996</v>
      </c>
      <c r="S106">
        <f t="shared" si="7"/>
        <v>-19581.012502979996</v>
      </c>
      <c r="T106">
        <v>-3534.8655630500002</v>
      </c>
      <c r="U106">
        <v>-16046.146939939999</v>
      </c>
      <c r="V106">
        <f t="shared" si="8"/>
        <v>-19581.012502990001</v>
      </c>
      <c r="W106">
        <f t="shared" si="9"/>
        <v>0</v>
      </c>
    </row>
  </sheetData>
  <mergeCells count="3">
    <mergeCell ref="M1:P1"/>
    <mergeCell ref="Q1:S1"/>
    <mergeCell ref="T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~opt_report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ROSTAMI Salim</cp:lastModifiedBy>
  <dcterms:created xsi:type="dcterms:W3CDTF">2025-10-19T18:37:43Z</dcterms:created>
  <dcterms:modified xsi:type="dcterms:W3CDTF">2025-10-19T19:59:08Z</dcterms:modified>
</cp:coreProperties>
</file>