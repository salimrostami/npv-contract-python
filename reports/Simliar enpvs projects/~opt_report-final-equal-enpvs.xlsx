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Simliar enpvs projects/"/>
    </mc:Choice>
  </mc:AlternateContent>
  <xr:revisionPtr revIDLastSave="64" documentId="8_{2566FF2D-C6A1-440D-98E6-8EA327D888ED}" xr6:coauthVersionLast="47" xr6:coauthVersionMax="47" xr10:uidLastSave="{F1B314B1-A0CD-4E06-BFE7-9C0E316298D3}"/>
  <bookViews>
    <workbookView xWindow="25510" yWindow="-3650" windowWidth="19380" windowHeight="20970" xr2:uid="{7C274E27-4A44-445F-BC83-57BC4C54C6E2}"/>
  </bookViews>
  <sheets>
    <sheet name="~opt_report-final-equal-enpv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1" l="1" a="1"/>
  <c r="W8" i="1" s="1"/>
  <c r="V8" i="1" a="1"/>
  <c r="V8" i="1" s="1"/>
  <c r="U8" i="1" a="1"/>
  <c r="U8" i="1" s="1"/>
  <c r="T8" i="1" a="1"/>
  <c r="T8" i="1" s="1"/>
  <c r="W7" i="1" a="1"/>
  <c r="W7" i="1" s="1"/>
  <c r="V7" i="1" a="1"/>
  <c r="V7" i="1" s="1"/>
  <c r="Z7" i="1" s="1"/>
  <c r="U7" i="1" a="1"/>
  <c r="U7" i="1" s="1"/>
  <c r="T7" i="1" a="1"/>
  <c r="T7" i="1" s="1"/>
  <c r="X7" i="1" s="1"/>
  <c r="W6" i="1" a="1"/>
  <c r="W6" i="1" s="1"/>
  <c r="V6" i="1" a="1"/>
  <c r="V6" i="1" s="1"/>
  <c r="U6" i="1" a="1"/>
  <c r="U6" i="1" s="1"/>
  <c r="T6" i="1" a="1"/>
  <c r="T6" i="1" s="1"/>
  <c r="W5" i="1" a="1"/>
  <c r="W5" i="1" s="1"/>
  <c r="V5" i="1" a="1"/>
  <c r="V5" i="1" s="1"/>
  <c r="U5" i="1" a="1"/>
  <c r="U5" i="1" s="1"/>
  <c r="T5" i="1" a="1"/>
  <c r="T5" i="1" s="1"/>
  <c r="W4" i="1" a="1"/>
  <c r="W4" i="1" s="1"/>
  <c r="V4" i="1" a="1"/>
  <c r="V4" i="1" s="1"/>
  <c r="U4" i="1" a="1"/>
  <c r="U4" i="1" s="1"/>
  <c r="T4" i="1" a="1"/>
  <c r="T4" i="1" s="1"/>
  <c r="W3" i="1" a="1"/>
  <c r="W3" i="1" s="1"/>
  <c r="V3" i="1" a="1"/>
  <c r="V3" i="1" s="1"/>
  <c r="U3" i="1" a="1"/>
  <c r="U3" i="1" s="1"/>
  <c r="T3" i="1" a="1"/>
  <c r="T3" i="1" s="1"/>
  <c r="Z5" i="1" l="1"/>
  <c r="Y5" i="1"/>
  <c r="X6" i="1"/>
  <c r="Y6" i="1"/>
  <c r="Y7" i="1"/>
  <c r="Z6" i="1"/>
  <c r="Z4" i="1"/>
  <c r="X4" i="1"/>
  <c r="X3" i="1"/>
  <c r="Y3" i="1"/>
  <c r="Z3" i="1"/>
  <c r="Y4" i="1"/>
  <c r="X5" i="1"/>
  <c r="X8" i="1"/>
  <c r="Y8" i="1"/>
  <c r="Z8" i="1"/>
  <c r="X9" i="1" l="1" a="1"/>
  <c r="X9" i="1" s="1"/>
  <c r="Y9" i="1" a="1"/>
  <c r="Y9" i="1" s="1"/>
  <c r="Z9" i="1" a="1"/>
  <c r="Z9" i="1" s="1"/>
  <c r="Q3" i="1"/>
  <c r="Q4" i="1"/>
  <c r="Q5" i="1"/>
  <c r="Q2" i="1"/>
  <c r="X1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<sst xmlns="http://schemas.openxmlformats.org/spreadsheetml/2006/main" count="131" uniqueCount="23">
  <si>
    <t xml:space="preserve">time      </t>
  </si>
  <si>
    <t xml:space="preserve">proj_id   </t>
  </si>
  <si>
    <t xml:space="preserve">cont_type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</si>
  <si>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</si>
  <si>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</si>
  <si>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</si>
  <si>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</si>
  <si>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</si>
  <si>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SB_Risk   </t>
  </si>
  <si>
    <t xml:space="preserve">B_Risk    </t>
  </si>
  <si>
    <t xml:space="preserve">SO_Risk   </t>
  </si>
  <si>
    <t xml:space="preserve">O_Risk    </t>
  </si>
  <si>
    <t xml:space="preserve">B_VaR     </t>
  </si>
  <si>
    <t xml:space="preserve">O_VaR     </t>
  </si>
  <si>
    <t xml:space="preserve">ST_VaR    </t>
  </si>
  <si>
    <t xml:space="preserve">T_VaR     </t>
  </si>
  <si>
    <t xml:space="preserve">ls        </t>
  </si>
  <si>
    <t xml:space="preserve">cp        </t>
  </si>
  <si>
    <t xml:space="preserve">lh        </t>
  </si>
  <si>
    <t xml:space="preserve">tm        </t>
  </si>
  <si>
    <t>tvar</t>
  </si>
  <si>
    <t>opt gap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</si>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</sst>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043A-2FBA-46BA-9065-90F0F461ACC7}">
  <dimension ref="A1:Z105"/>
  <sheetViews>
    <sheetView tabSelected="1" topLeftCell="M1" workbookViewId="0">
      <selection activeCell="X10" sqref="X10"/>
    </sheetView>
  </sheetViews>
  <sheetFormatPr defaultRowHeight="15" x14ac:dyDescent="0.25"/>
  <cols>
    <col min="1" max="1" width="14.85546875" bestFit="1" customWidth="1"/>
    <col min="2" max="2" width="8.42578125" bestFit="1" customWidth="1"/>
    <col min="3" max="3" width="9.7109375" bestFit="1" customWidth="1"/>
    <col min="4" max="4" width="11.42578125" bestFit="1" customWidth="1"/>
    <col min="5" max="5" width="7.140625" bestFit="1" customWidth="1"/>
    <col min="6" max="6" width="11.42578125" bestFit="1" customWidth="1"/>
    <col min="7" max="7" width="9.42578125" bestFit="1" customWidth="1"/>
    <col min="8" max="8" width="13.140625" bestFit="1" customWidth="1"/>
    <col min="9" max="9" width="9" bestFit="1" customWidth="1"/>
    <col min="10" max="10" width="12.42578125" bestFit="1" customWidth="1"/>
    <col min="11" max="11" width="9.28515625" bestFit="1" customWidth="1"/>
    <col min="12" max="12" width="12.42578125" bestFit="1" customWidth="1"/>
    <col min="13" max="16" width="13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>
        <v>1.0000000000000001E-5</v>
      </c>
      <c r="T1" s="2" t="s">
        <v>20</v>
      </c>
      <c r="U1" s="2"/>
      <c r="V1" s="2"/>
      <c r="W1" s="2"/>
      <c r="X1" s="2" t="s">
        <v>21</v>
      </c>
      <c r="Y1" s="2"/>
      <c r="Z1" s="2"/>
    </row>
    <row r="2" spans="1:26" x14ac:dyDescent="0.25">
      <c r="A2" s="1">
        <v>45949.061180555553</v>
      </c>
      <c r="B2">
        <v>1</v>
      </c>
      <c r="C2" t="s">
        <v>16</v>
      </c>
      <c r="D2">
        <v>37261.088199999998</v>
      </c>
      <c r="E2">
        <v>0</v>
      </c>
      <c r="F2">
        <v>0</v>
      </c>
      <c r="G2">
        <v>5000</v>
      </c>
      <c r="H2">
        <v>5213.8093444899996</v>
      </c>
      <c r="I2">
        <v>30.079000000000001</v>
      </c>
      <c r="J2">
        <v>30.001638710000002</v>
      </c>
      <c r="K2">
        <v>0</v>
      </c>
      <c r="L2">
        <v>0</v>
      </c>
      <c r="M2">
        <v>-10440.156118250001</v>
      </c>
      <c r="N2">
        <v>-1850.96994657</v>
      </c>
      <c r="O2">
        <v>-12293.50972296</v>
      </c>
      <c r="P2">
        <v>-12291.12606482</v>
      </c>
      <c r="Q2" t="str">
        <f>UPPER(C2)&amp;" &amp; "&amp;ROUND(D2,0)&amp;" &amp; "&amp;TEXT(ROUND(E2,3),"0.000")&amp;" &amp; "&amp;ROUND(F2,0)&amp;" &amp; "&amp;TEXT(ROUND(J2,2),"0.00")&amp;" &amp; "&amp;TEXT(ROUND(L2,2),"0.00")&amp;" &amp; "&amp;TEXT(ROUND(M2,3),"0.000")&amp;" &amp; "&amp;TEXT(ROUND(N2,3),"0.000")&amp;" &amp; "&amp;TEXT(ROUND(P2,3),"0.000")&amp;" \\ "</f>
        <v xml:space="preserve">LS         &amp; 37261 &amp; 0.000 &amp; 0 &amp; 30.00 &amp; 0.00 &amp; -10440.156 &amp; -1850.970 &amp; -12291.126 \\ </v>
      </c>
      <c r="R2" t="s">
        <v>1</v>
      </c>
      <c r="S2" t="s">
        <v>22</v>
      </c>
      <c r="T2" t="s">
        <v>16</v>
      </c>
      <c r="U2" t="s">
        <v>17</v>
      </c>
      <c r="V2" t="s">
        <v>18</v>
      </c>
      <c r="W2" t="s">
        <v>19</v>
      </c>
      <c r="X2" t="s">
        <v>16</v>
      </c>
      <c r="Y2" t="s">
        <v>17</v>
      </c>
      <c r="Z2" t="s">
        <v>18</v>
      </c>
    </row>
    <row r="3" spans="1:26" x14ac:dyDescent="0.25">
      <c r="A3" s="1">
        <v>45949.061180555553</v>
      </c>
      <c r="B3">
        <v>1</v>
      </c>
      <c r="C3" t="s">
        <v>17</v>
      </c>
      <c r="D3">
        <v>28522.171200000001</v>
      </c>
      <c r="E3">
        <v>0.3427</v>
      </c>
      <c r="F3">
        <v>0</v>
      </c>
      <c r="G3">
        <v>5000</v>
      </c>
      <c r="H3">
        <v>5213.8093444899996</v>
      </c>
      <c r="I3">
        <v>19.463000000000001</v>
      </c>
      <c r="J3">
        <v>19.574865030000002</v>
      </c>
      <c r="K3">
        <v>0</v>
      </c>
      <c r="L3">
        <v>0</v>
      </c>
      <c r="M3">
        <v>-7140.2765471599996</v>
      </c>
      <c r="N3">
        <v>-3722.8067043000001</v>
      </c>
      <c r="O3">
        <v>-10898.84000229</v>
      </c>
      <c r="P3">
        <v>-10863.083251460001</v>
      </c>
      <c r="Q3" t="str">
        <f t="shared" ref="Q3:Q5" si="0">UPPER(C3)&amp;" &amp; "&amp;ROUND(D3,0)&amp;" &amp; "&amp;TEXT(ROUND(E3,3),"0.000")&amp;" &amp; "&amp;ROUND(F3,0)&amp;" &amp; "&amp;TEXT(ROUND(J3,2),"0.00")&amp;" &amp; "&amp;TEXT(ROUND(L3,2),"0.00")&amp;" &amp; "&amp;TEXT(ROUND(M3,3),"0.000")&amp;" &amp; "&amp;TEXT(ROUND(N3,3),"0.000")&amp;" &amp; "&amp;TEXT(ROUND(P3,3),"0.000")&amp;" \\ "</f>
        <v xml:space="preserve">CP         &amp; 28522 &amp; 0.343 &amp; 0 &amp; 19.57 &amp; 0.00 &amp; -7140.277 &amp; -3722.807 &amp; -10863.083 \\ </v>
      </c>
      <c r="R3">
        <v>2</v>
      </c>
      <c r="S3">
        <v>-1000</v>
      </c>
      <c r="T3" cm="1">
        <f t="array" ref="T3">_xlfn._xlws.FILTER($P:$P,($B:$B=$R3)*($C:$C=T$2))</f>
        <v>-13606.691961209999</v>
      </c>
      <c r="U3" cm="1">
        <f t="array" ref="U3">_xlfn._xlws.FILTER($P:$P,($B:$B=$R3)*($C:$C=U$2))</f>
        <v>-10863.083251460001</v>
      </c>
      <c r="V3" cm="1">
        <f t="array" ref="V3">_xlfn._xlws.FILTER($P:$P,($B:$B=$R3)*($C:$C=V$2))</f>
        <v>-13606.691961209999</v>
      </c>
      <c r="W3" cm="1">
        <f t="array" ref="W3">_xlfn._xlws.FILTER($P:$P,($B:$B=$R3)*($C:$C=W$2))</f>
        <v>-10863.083251460001</v>
      </c>
      <c r="X3">
        <f>IF(100*ABS(T3-$W3)/ABS($W3)&gt;$R$1,100*ABS(T3-$W3)/ABS($W3),0)</f>
        <v>25.256261470529161</v>
      </c>
      <c r="Y3">
        <f t="shared" ref="Y3:Z8" si="1">IF(100*ABS(U3-$W3)/ABS($W3)&gt;$R$1,100*ABS(U3-$W3)/ABS($W3),0)</f>
        <v>0</v>
      </c>
      <c r="Z3">
        <f t="shared" si="1"/>
        <v>25.256261470529161</v>
      </c>
    </row>
    <row r="4" spans="1:26" x14ac:dyDescent="0.25">
      <c r="A4" s="1">
        <v>45949.061180555553</v>
      </c>
      <c r="B4">
        <v>1</v>
      </c>
      <c r="C4" t="s">
        <v>18</v>
      </c>
      <c r="D4">
        <v>37261.088199999998</v>
      </c>
      <c r="E4">
        <v>0</v>
      </c>
      <c r="F4">
        <v>0</v>
      </c>
      <c r="G4">
        <v>5000</v>
      </c>
      <c r="H4">
        <v>5213.8093444899996</v>
      </c>
      <c r="I4">
        <v>30.134</v>
      </c>
      <c r="J4">
        <v>30.001638710000002</v>
      </c>
      <c r="K4">
        <v>0</v>
      </c>
      <c r="L4">
        <v>0</v>
      </c>
      <c r="M4">
        <v>-10440.156118250001</v>
      </c>
      <c r="N4">
        <v>-1850.96994657</v>
      </c>
      <c r="O4">
        <v>-12311.831003949999</v>
      </c>
      <c r="P4">
        <v>-12291.12606482</v>
      </c>
      <c r="Q4" t="str">
        <f t="shared" si="0"/>
        <v xml:space="preserve">LH         &amp; 37261 &amp; 0.000 &amp; 0 &amp; 30.00 &amp; 0.00 &amp; -10440.156 &amp; -1850.970 &amp; -12291.126 \\ </v>
      </c>
      <c r="R4">
        <v>3</v>
      </c>
      <c r="S4">
        <v>-2500</v>
      </c>
      <c r="T4" cm="1">
        <f t="array" ref="T4">_xlfn._xlws.FILTER($P:$P,($B:$B=$R4)*($C:$C=T$2))</f>
        <v>-13035.63294051</v>
      </c>
      <c r="U4" cm="1">
        <f t="array" ref="U4">_xlfn._xlws.FILTER($P:$P,($B:$B=$R4)*($C:$C=U$2))</f>
        <v>-10863.083251460001</v>
      </c>
      <c r="V4" cm="1">
        <f t="array" ref="V4">_xlfn._xlws.FILTER($P:$P,($B:$B=$R4)*($C:$C=V$2))</f>
        <v>-13035.63294051</v>
      </c>
      <c r="W4" cm="1">
        <f t="array" ref="W4">_xlfn._xlws.FILTER($P:$P,($B:$B=$R4)*($C:$C=W$2))</f>
        <v>-10863.08325147</v>
      </c>
      <c r="X4">
        <f t="shared" ref="X4:X8" si="2">IF(100*ABS(T4-$W4)/ABS($W4)&gt;$R$1,100*ABS(T4-$W4)/ABS($W4),0)</f>
        <v>19.999383588872064</v>
      </c>
      <c r="Y4">
        <f t="shared" si="1"/>
        <v>0</v>
      </c>
      <c r="Z4">
        <f t="shared" si="1"/>
        <v>19.999383588872064</v>
      </c>
    </row>
    <row r="5" spans="1:26" x14ac:dyDescent="0.25">
      <c r="A5" s="1">
        <v>45949.061180555553</v>
      </c>
      <c r="B5">
        <v>1</v>
      </c>
      <c r="C5" t="s">
        <v>19</v>
      </c>
      <c r="D5">
        <v>22468.197700000001</v>
      </c>
      <c r="E5">
        <v>0.5</v>
      </c>
      <c r="F5">
        <v>422.6139</v>
      </c>
      <c r="G5">
        <v>5000</v>
      </c>
      <c r="H5">
        <v>5213.8093444899996</v>
      </c>
      <c r="I5">
        <v>8.6110000000000007</v>
      </c>
      <c r="J5">
        <v>8.5597588299999998</v>
      </c>
      <c r="K5">
        <v>6.8819999999999997</v>
      </c>
      <c r="L5">
        <v>6.8787659999999997</v>
      </c>
      <c r="M5">
        <v>-5412.4855566699998</v>
      </c>
      <c r="N5">
        <v>-5450.5976947999998</v>
      </c>
      <c r="O5">
        <v>-10888.80917821</v>
      </c>
      <c r="P5">
        <v>-10863.083251460001</v>
      </c>
      <c r="Q5" t="str">
        <f t="shared" si="0"/>
        <v xml:space="preserve">TM         &amp; 22468 &amp; 0.500 &amp; 423 &amp; 8.56 &amp; 6.88 &amp; -5412.486 &amp; -5450.598 &amp; -10863.083 \\ </v>
      </c>
      <c r="R5">
        <v>1</v>
      </c>
      <c r="S5">
        <v>-5000</v>
      </c>
      <c r="T5" cm="1">
        <f t="array" ref="T5">_xlfn._xlws.FILTER($P:$P,($B:$B=$R5)*($C:$C=T$2))</f>
        <v>-12291.12606482</v>
      </c>
      <c r="U5" cm="1">
        <f t="array" ref="U5">_xlfn._xlws.FILTER($P:$P,($B:$B=$R5)*($C:$C=U$2))</f>
        <v>-10863.083251460001</v>
      </c>
      <c r="V5" cm="1">
        <f t="array" ref="V5">_xlfn._xlws.FILTER($P:$P,($B:$B=$R5)*($C:$C=V$2))</f>
        <v>-12291.12606482</v>
      </c>
      <c r="W5" cm="1">
        <f t="array" ref="W5">_xlfn._xlws.FILTER($P:$P,($B:$B=$R5)*($C:$C=W$2))</f>
        <v>-10863.083251460001</v>
      </c>
      <c r="X5">
        <f t="shared" si="2"/>
        <v>13.145833280510583</v>
      </c>
      <c r="Y5">
        <f t="shared" si="1"/>
        <v>0</v>
      </c>
      <c r="Z5">
        <f t="shared" si="1"/>
        <v>13.145833280510583</v>
      </c>
    </row>
    <row r="6" spans="1:26" x14ac:dyDescent="0.25">
      <c r="A6" s="1">
        <v>45949.061261574076</v>
      </c>
      <c r="B6">
        <v>2</v>
      </c>
      <c r="C6" t="s">
        <v>16</v>
      </c>
      <c r="D6">
        <v>30556.652900000001</v>
      </c>
      <c r="E6">
        <v>0</v>
      </c>
      <c r="F6">
        <v>0</v>
      </c>
      <c r="G6">
        <v>5000</v>
      </c>
      <c r="H6">
        <v>9213.8093444900005</v>
      </c>
      <c r="I6">
        <v>28.832999999999998</v>
      </c>
      <c r="J6">
        <v>28.809468070000001</v>
      </c>
      <c r="K6">
        <v>0</v>
      </c>
      <c r="L6">
        <v>0</v>
      </c>
      <c r="M6">
        <v>-10335.67012991</v>
      </c>
      <c r="N6">
        <v>-3271.0218313</v>
      </c>
      <c r="O6">
        <v>-13611.37058791</v>
      </c>
      <c r="P6">
        <v>-13606.691961209999</v>
      </c>
      <c r="R6">
        <v>4</v>
      </c>
      <c r="S6">
        <v>-7500</v>
      </c>
      <c r="T6" cm="1">
        <f t="array" ref="T6">_xlfn._xlws.FILTER($P:$P,($B:$B=$R6)*($C:$C=T$2))</f>
        <v>-11565.72287016</v>
      </c>
      <c r="U6" cm="1">
        <f t="array" ref="U6">_xlfn._xlws.FILTER($P:$P,($B:$B=$R6)*($C:$C=U$2))</f>
        <v>-10863.083251460001</v>
      </c>
      <c r="V6" cm="1">
        <f t="array" ref="V6">_xlfn._xlws.FILTER($P:$P,($B:$B=$R6)*($C:$C=V$2))</f>
        <v>-11565.72287016</v>
      </c>
      <c r="W6" cm="1">
        <f t="array" ref="W6">_xlfn._xlws.FILTER($P:$P,($B:$B=$R6)*($C:$C=W$2))</f>
        <v>-10863.083251460001</v>
      </c>
      <c r="X6">
        <f t="shared" si="2"/>
        <v>6.4681417092662361</v>
      </c>
      <c r="Y6">
        <f t="shared" si="1"/>
        <v>0</v>
      </c>
      <c r="Z6">
        <f t="shared" si="1"/>
        <v>6.4681417092662361</v>
      </c>
    </row>
    <row r="7" spans="1:26" x14ac:dyDescent="0.25">
      <c r="A7" s="1">
        <v>45949.061261574076</v>
      </c>
      <c r="B7">
        <v>2</v>
      </c>
      <c r="C7" t="s">
        <v>17</v>
      </c>
      <c r="D7">
        <v>17535.794099999999</v>
      </c>
      <c r="E7">
        <v>0.60560000000000003</v>
      </c>
      <c r="F7">
        <v>0</v>
      </c>
      <c r="G7">
        <v>5000</v>
      </c>
      <c r="H7">
        <v>9213.8093444900005</v>
      </c>
      <c r="I7">
        <v>0.17100000000000001</v>
      </c>
      <c r="J7">
        <v>0.17226071000000001</v>
      </c>
      <c r="K7">
        <v>0</v>
      </c>
      <c r="L7">
        <v>0</v>
      </c>
      <c r="M7">
        <v>-4284.1679716099998</v>
      </c>
      <c r="N7">
        <v>-6578.9152798499999</v>
      </c>
      <c r="O7">
        <v>-10872.394089269999</v>
      </c>
      <c r="P7">
        <v>-10863.083251460001</v>
      </c>
      <c r="R7">
        <v>5</v>
      </c>
      <c r="S7">
        <v>-15000</v>
      </c>
      <c r="T7" cm="1">
        <f t="array" ref="T7">_xlfn._xlws.FILTER($P:$P,($B:$B=$R7)*($C:$C=T$2))</f>
        <v>-13966.61782603</v>
      </c>
      <c r="U7" cm="1">
        <f t="array" ref="U7">_xlfn._xlws.FILTER($P:$P,($B:$B=$R7)*($C:$C=U$2))</f>
        <v>-13722.038914889999</v>
      </c>
      <c r="V7" cm="1">
        <f t="array" ref="V7">_xlfn._xlws.FILTER($P:$P,($B:$B=$R7)*($C:$C=V$2))</f>
        <v>-10966.74357135</v>
      </c>
      <c r="W7" cm="1">
        <f t="array" ref="W7">_xlfn._xlws.FILTER($P:$P,($B:$B=$R7)*($C:$C=W$2))</f>
        <v>-10863.083251460001</v>
      </c>
      <c r="X7">
        <f t="shared" si="2"/>
        <v>28.569555279371389</v>
      </c>
      <c r="Y7">
        <f t="shared" si="1"/>
        <v>26.318086654134355</v>
      </c>
      <c r="Z7">
        <f t="shared" si="1"/>
        <v>0.95424399767963974</v>
      </c>
    </row>
    <row r="8" spans="1:26" x14ac:dyDescent="0.25">
      <c r="A8" s="1">
        <v>45949.061261574076</v>
      </c>
      <c r="B8">
        <v>2</v>
      </c>
      <c r="C8" t="s">
        <v>18</v>
      </c>
      <c r="D8">
        <v>30556.652900000001</v>
      </c>
      <c r="E8">
        <v>0</v>
      </c>
      <c r="F8">
        <v>0</v>
      </c>
      <c r="G8">
        <v>5000</v>
      </c>
      <c r="H8">
        <v>9213.8093444900005</v>
      </c>
      <c r="I8">
        <v>28.913</v>
      </c>
      <c r="J8">
        <v>28.809468070000001</v>
      </c>
      <c r="K8">
        <v>0</v>
      </c>
      <c r="L8">
        <v>0</v>
      </c>
      <c r="M8">
        <v>-10335.67012991</v>
      </c>
      <c r="N8">
        <v>-3271.0218313</v>
      </c>
      <c r="O8">
        <v>-13611.553661329999</v>
      </c>
      <c r="P8">
        <v>-13606.691961209999</v>
      </c>
      <c r="R8">
        <v>6</v>
      </c>
      <c r="S8">
        <v>-30000</v>
      </c>
      <c r="T8" cm="1">
        <f t="array" ref="T8">_xlfn._xlws.FILTER($P:$P,($B:$B=$R8)*($C:$C=T$2))</f>
        <v>-24739.72701074</v>
      </c>
      <c r="U8" cm="1">
        <f t="array" ref="U8">_xlfn._xlws.FILTER($P:$P,($B:$B=$R8)*($C:$C=U$2))</f>
        <v>-24093.32972804</v>
      </c>
      <c r="V8" cm="1">
        <f t="array" ref="V8">_xlfn._xlws.FILTER($P:$P,($B:$B=$R8)*($C:$C=V$2))</f>
        <v>-11449.13887194</v>
      </c>
      <c r="W8" cm="1">
        <f t="array" ref="W8">_xlfn._xlws.FILTER($P:$P,($B:$B=$R8)*($C:$C=W$2))</f>
        <v>-11167.35526704</v>
      </c>
      <c r="X8">
        <f t="shared" si="2"/>
        <v>121.53613294419233</v>
      </c>
      <c r="Y8">
        <f t="shared" si="1"/>
        <v>115.74785749989073</v>
      </c>
      <c r="Z8">
        <f t="shared" si="1"/>
        <v>2.523279667941368</v>
      </c>
    </row>
    <row r="9" spans="1:26" x14ac:dyDescent="0.25">
      <c r="A9" s="1">
        <v>45949.061261574076</v>
      </c>
      <c r="B9">
        <v>2</v>
      </c>
      <c r="C9" t="s">
        <v>19</v>
      </c>
      <c r="D9">
        <v>12556.544400000001</v>
      </c>
      <c r="E9">
        <v>0.75</v>
      </c>
      <c r="F9">
        <v>387.90480000000002</v>
      </c>
      <c r="G9">
        <v>5000</v>
      </c>
      <c r="H9">
        <v>9213.8093444900005</v>
      </c>
      <c r="I9">
        <v>0</v>
      </c>
      <c r="J9">
        <v>0</v>
      </c>
      <c r="K9">
        <v>0.68700000000000006</v>
      </c>
      <c r="L9">
        <v>0.68825141999999995</v>
      </c>
      <c r="M9">
        <v>-2698.2792912899999</v>
      </c>
      <c r="N9">
        <v>-8164.8039601700002</v>
      </c>
      <c r="O9">
        <v>-10896.09387269</v>
      </c>
      <c r="P9">
        <v>-10863.083251460001</v>
      </c>
      <c r="X9" t="str" cm="1">
        <f t="array" ref="X9">_xlfn.TEXTJOIN("", TRUE, "(" &amp; $S$3:$S$8 &amp; ", " &amp; X3:X8 &amp; ") ")</f>
        <v xml:space="preserve">(-1000, 25.2562614705292) (-2500, 19.9993835888721) (-5000, 13.1458332805106) (-7500, 6.46814170926624) (-15000, 28.5695552793714) (-30000, 121.536132944192) </v>
      </c>
      <c r="Y9" t="str" cm="1">
        <f t="array" ref="Y9">_xlfn.TEXTJOIN("", TRUE, "(" &amp; $S$3:$S$8 &amp; ", " &amp; Y3:Y8 &amp; ") ")</f>
        <v xml:space="preserve">(-1000, 0) (-2500, 0) (-5000, 0) (-7500, 0) (-15000, 26.3180866541344) (-30000, 115.747857499891) </v>
      </c>
      <c r="Z9" t="str" cm="1">
        <f t="array" ref="Z9">_xlfn.TEXTJOIN("", TRUE, "(" &amp; $S$3:$S$8 &amp; ", " &amp; Z3:Z8 &amp; ") ")</f>
        <v xml:space="preserve">(-1000, 25.2562614705292) (-2500, 19.9993835888721) (-5000, 13.1458332805106) (-7500, 6.46814170926624) (-15000, 0.95424399767964) (-30000, 2.52327966794137) </v>
      </c>
    </row>
    <row r="10" spans="1:26" x14ac:dyDescent="0.25">
      <c r="A10" s="1">
        <v>45949.061331018522</v>
      </c>
      <c r="B10">
        <v>3</v>
      </c>
      <c r="C10" t="s">
        <v>16</v>
      </c>
      <c r="D10">
        <v>33070.816099999996</v>
      </c>
      <c r="E10">
        <v>0</v>
      </c>
      <c r="F10">
        <v>0</v>
      </c>
      <c r="G10">
        <v>5000</v>
      </c>
      <c r="H10">
        <v>7713.8093444899996</v>
      </c>
      <c r="I10">
        <v>29.494</v>
      </c>
      <c r="J10">
        <v>29.256532060000001</v>
      </c>
      <c r="K10">
        <v>0</v>
      </c>
      <c r="L10">
        <v>0</v>
      </c>
      <c r="M10">
        <v>-10297.13056598</v>
      </c>
      <c r="N10">
        <v>-2738.50237453</v>
      </c>
      <c r="O10">
        <v>-12997.75715048</v>
      </c>
      <c r="P10">
        <v>-13035.63294051</v>
      </c>
      <c r="X10" t="str">
        <f>"\addplot+[mark=square*] coordinates {"
        &amp;Z9&amp;
      "};
      \addlegendentry{lh}
      \addplot+[mark=triangle*] coordinates {"
        &amp;Y9&amp;
      "};
      \addlegendentry{cp}"</f>
        <v>\addplot+[mark=square*] coordinates {(-1000, 25.2562614705292) (-2500, 19.9993835888721) (-5000, 13.1458332805106) (-7500, 6.46814170926624) (-15000, 0.95424399767964) (-30000, 2.52327966794137) };
      \addlegendentry{lh}
      \addplot+[mark=triangle*] coordinates {(-1000, 0) (-2500, 0) (-5000, 0) (-7500, 0) (-15000, 26.3180866541344) (-30000, 115.747857499891) };
      \addlegendentry{cp}</v>
      </c>
    </row>
    <row r="11" spans="1:26" x14ac:dyDescent="0.25">
      <c r="A11" s="1">
        <v>45949.061331018522</v>
      </c>
      <c r="B11">
        <v>3</v>
      </c>
      <c r="C11" t="s">
        <v>17</v>
      </c>
      <c r="D11">
        <v>21409.202700000002</v>
      </c>
      <c r="E11">
        <v>0.50700000000000001</v>
      </c>
      <c r="F11">
        <v>0</v>
      </c>
      <c r="G11">
        <v>5000</v>
      </c>
      <c r="H11">
        <v>7713.8093444899996</v>
      </c>
      <c r="I11">
        <v>7.9050000000000002</v>
      </c>
      <c r="J11">
        <v>7.9605523199999997</v>
      </c>
      <c r="K11">
        <v>0</v>
      </c>
      <c r="L11">
        <v>0</v>
      </c>
      <c r="M11">
        <v>-5355.2099645199996</v>
      </c>
      <c r="N11">
        <v>-5507.8732869400001</v>
      </c>
      <c r="O11">
        <v>-10825.088652709999</v>
      </c>
      <c r="P11">
        <v>-10863.083251460001</v>
      </c>
    </row>
    <row r="12" spans="1:26" x14ac:dyDescent="0.25">
      <c r="A12" s="1">
        <v>45949.061331018522</v>
      </c>
      <c r="B12">
        <v>3</v>
      </c>
      <c r="C12" t="s">
        <v>18</v>
      </c>
      <c r="D12">
        <v>33070.816099999996</v>
      </c>
      <c r="E12">
        <v>0</v>
      </c>
      <c r="F12">
        <v>0</v>
      </c>
      <c r="G12">
        <v>5000</v>
      </c>
      <c r="H12">
        <v>7713.8093444899996</v>
      </c>
      <c r="I12">
        <v>29.193000000000001</v>
      </c>
      <c r="J12">
        <v>29.256532060000001</v>
      </c>
      <c r="K12">
        <v>0</v>
      </c>
      <c r="L12">
        <v>0</v>
      </c>
      <c r="M12">
        <v>-10297.13056598</v>
      </c>
      <c r="N12">
        <v>-2738.50237453</v>
      </c>
      <c r="O12">
        <v>-13077.07126853</v>
      </c>
      <c r="P12">
        <v>-13035.63294051</v>
      </c>
    </row>
    <row r="13" spans="1:26" x14ac:dyDescent="0.25">
      <c r="A13" s="1">
        <v>45949.061331018522</v>
      </c>
      <c r="B13">
        <v>3</v>
      </c>
      <c r="C13" t="s">
        <v>19</v>
      </c>
      <c r="D13">
        <v>17163.638800000001</v>
      </c>
      <c r="E13">
        <v>0.625</v>
      </c>
      <c r="F13">
        <v>316.9624</v>
      </c>
      <c r="G13">
        <v>5000</v>
      </c>
      <c r="H13">
        <v>7713.8093444899996</v>
      </c>
      <c r="I13">
        <v>0</v>
      </c>
      <c r="J13">
        <v>0</v>
      </c>
      <c r="K13">
        <v>0.623</v>
      </c>
      <c r="L13">
        <v>0.57698066000000003</v>
      </c>
      <c r="M13">
        <v>-4059.3623950400001</v>
      </c>
      <c r="N13">
        <v>-6803.7208564299999</v>
      </c>
      <c r="O13">
        <v>-10862.07031723</v>
      </c>
      <c r="P13">
        <v>-10863.08325147</v>
      </c>
    </row>
    <row r="14" spans="1:26" x14ac:dyDescent="0.25">
      <c r="A14" s="1">
        <v>45949.061400462961</v>
      </c>
      <c r="B14">
        <v>4</v>
      </c>
      <c r="C14" t="s">
        <v>16</v>
      </c>
      <c r="D14">
        <v>41451.360200000003</v>
      </c>
      <c r="E14">
        <v>0</v>
      </c>
      <c r="F14">
        <v>0</v>
      </c>
      <c r="G14">
        <v>5000</v>
      </c>
      <c r="H14">
        <v>2713.8093444900001</v>
      </c>
      <c r="I14">
        <v>30.65</v>
      </c>
      <c r="J14">
        <v>30.746745369999999</v>
      </c>
      <c r="K14">
        <v>0</v>
      </c>
      <c r="L14">
        <v>0</v>
      </c>
      <c r="M14">
        <v>-10602.285351549999</v>
      </c>
      <c r="N14">
        <v>-963.43751860999998</v>
      </c>
      <c r="O14">
        <v>-11585.466451619999</v>
      </c>
      <c r="P14">
        <v>-11565.72287016</v>
      </c>
    </row>
    <row r="15" spans="1:26" x14ac:dyDescent="0.25">
      <c r="A15" s="1">
        <v>45949.061400462961</v>
      </c>
      <c r="B15">
        <v>4</v>
      </c>
      <c r="C15" t="s">
        <v>17</v>
      </c>
      <c r="D15">
        <v>36456.773300000001</v>
      </c>
      <c r="E15">
        <v>0.1784</v>
      </c>
      <c r="F15">
        <v>0</v>
      </c>
      <c r="G15">
        <v>5000</v>
      </c>
      <c r="H15">
        <v>2713.8093444900001</v>
      </c>
      <c r="I15">
        <v>26.3</v>
      </c>
      <c r="J15">
        <v>26.56677024</v>
      </c>
      <c r="K15">
        <v>0</v>
      </c>
      <c r="L15">
        <v>0</v>
      </c>
      <c r="M15">
        <v>-8925.3472164399991</v>
      </c>
      <c r="N15">
        <v>-1937.7360350199999</v>
      </c>
      <c r="O15">
        <v>-10919.50352301</v>
      </c>
      <c r="P15">
        <v>-10863.083251460001</v>
      </c>
    </row>
    <row r="16" spans="1:26" x14ac:dyDescent="0.25">
      <c r="A16" s="1">
        <v>45949.061400462961</v>
      </c>
      <c r="B16">
        <v>4</v>
      </c>
      <c r="C16" t="s">
        <v>18</v>
      </c>
      <c r="D16">
        <v>41451.360200000003</v>
      </c>
      <c r="E16">
        <v>0</v>
      </c>
      <c r="F16">
        <v>0</v>
      </c>
      <c r="G16">
        <v>5000</v>
      </c>
      <c r="H16">
        <v>2713.8093444900001</v>
      </c>
      <c r="I16">
        <v>30.573</v>
      </c>
      <c r="J16">
        <v>30.746745369999999</v>
      </c>
      <c r="K16">
        <v>0</v>
      </c>
      <c r="L16">
        <v>0</v>
      </c>
      <c r="M16">
        <v>-10602.285351549999</v>
      </c>
      <c r="N16">
        <v>-963.43751860999998</v>
      </c>
      <c r="O16">
        <v>-11581.90106317</v>
      </c>
      <c r="P16">
        <v>-11565.72287016</v>
      </c>
    </row>
    <row r="17" spans="1:16" x14ac:dyDescent="0.25">
      <c r="A17" s="1">
        <v>45949.061400462961</v>
      </c>
      <c r="B17">
        <v>4</v>
      </c>
      <c r="C17" t="s">
        <v>19</v>
      </c>
      <c r="D17">
        <v>23274.316599999998</v>
      </c>
      <c r="E17">
        <v>0.5</v>
      </c>
      <c r="F17">
        <v>864.10739999999998</v>
      </c>
      <c r="G17">
        <v>5000</v>
      </c>
      <c r="H17">
        <v>2713.8093444900001</v>
      </c>
      <c r="I17">
        <v>8.5440000000000005</v>
      </c>
      <c r="J17">
        <v>8.5419667599999993</v>
      </c>
      <c r="K17">
        <v>29.567</v>
      </c>
      <c r="L17">
        <v>29.625166159999999</v>
      </c>
      <c r="M17">
        <v>-5392.5777573200003</v>
      </c>
      <c r="N17">
        <v>-5470.5054941400003</v>
      </c>
      <c r="O17">
        <v>-10927.292128610001</v>
      </c>
      <c r="P17">
        <v>-10863.083251460001</v>
      </c>
    </row>
    <row r="18" spans="1:16" x14ac:dyDescent="0.25">
      <c r="A18" s="1">
        <v>45949.061516203707</v>
      </c>
      <c r="B18">
        <v>5</v>
      </c>
      <c r="C18" t="s">
        <v>16</v>
      </c>
      <c r="D18">
        <v>54022.176399999997</v>
      </c>
      <c r="E18">
        <v>0</v>
      </c>
      <c r="F18">
        <v>0</v>
      </c>
      <c r="G18">
        <v>5000</v>
      </c>
      <c r="H18">
        <v>-4786.1906555100004</v>
      </c>
      <c r="I18">
        <v>32.9</v>
      </c>
      <c r="J18">
        <v>32.982065319999997</v>
      </c>
      <c r="K18">
        <v>100</v>
      </c>
      <c r="L18">
        <v>100</v>
      </c>
      <c r="M18">
        <v>-11813.447088229999</v>
      </c>
      <c r="N18">
        <v>-2153.1707378000001</v>
      </c>
      <c r="O18">
        <v>-13984.416223370001</v>
      </c>
      <c r="P18">
        <v>-13966.61782603</v>
      </c>
    </row>
    <row r="19" spans="1:16" x14ac:dyDescent="0.25">
      <c r="A19" s="1">
        <v>45949.061516203707</v>
      </c>
      <c r="B19">
        <v>5</v>
      </c>
      <c r="C19" t="s">
        <v>17</v>
      </c>
      <c r="D19">
        <v>51818.830600000001</v>
      </c>
      <c r="E19">
        <v>6.2100000000000002E-2</v>
      </c>
      <c r="F19">
        <v>0</v>
      </c>
      <c r="G19">
        <v>5000</v>
      </c>
      <c r="H19">
        <v>-4786.1906555100004</v>
      </c>
      <c r="I19">
        <v>31.733000000000001</v>
      </c>
      <c r="J19">
        <v>31.85593433</v>
      </c>
      <c r="K19">
        <v>100</v>
      </c>
      <c r="L19">
        <v>100</v>
      </c>
      <c r="M19">
        <v>-11372.748029320001</v>
      </c>
      <c r="N19">
        <v>-2349.2908855699998</v>
      </c>
      <c r="O19">
        <v>-13730.121087969999</v>
      </c>
      <c r="P19">
        <v>-13722.038914889999</v>
      </c>
    </row>
    <row r="20" spans="1:16" x14ac:dyDescent="0.25">
      <c r="A20" s="1">
        <v>45949.061516203707</v>
      </c>
      <c r="B20">
        <v>5</v>
      </c>
      <c r="C20" t="s">
        <v>18</v>
      </c>
      <c r="D20">
        <v>49536.450499999999</v>
      </c>
      <c r="E20">
        <v>0</v>
      </c>
      <c r="F20">
        <v>927.96469999999999</v>
      </c>
      <c r="G20">
        <v>5000</v>
      </c>
      <c r="H20">
        <v>-4786.1906555100004</v>
      </c>
      <c r="I20">
        <v>31.369</v>
      </c>
      <c r="J20">
        <v>31.397244990000001</v>
      </c>
      <c r="K20">
        <v>100</v>
      </c>
      <c r="L20">
        <v>100</v>
      </c>
      <c r="M20">
        <v>-10756.782774130001</v>
      </c>
      <c r="N20">
        <v>-209.96079723</v>
      </c>
      <c r="O20">
        <v>-10953.678885879999</v>
      </c>
      <c r="P20">
        <v>-10966.74357135</v>
      </c>
    </row>
    <row r="21" spans="1:16" x14ac:dyDescent="0.25">
      <c r="A21" s="1">
        <v>45949.061516203707</v>
      </c>
      <c r="B21">
        <v>5</v>
      </c>
      <c r="C21" t="s">
        <v>19</v>
      </c>
      <c r="D21">
        <v>39708.579599999997</v>
      </c>
      <c r="E21">
        <v>0.2109</v>
      </c>
      <c r="F21">
        <v>1411.9568999999999</v>
      </c>
      <c r="G21">
        <v>5000</v>
      </c>
      <c r="H21">
        <v>-4786.1906555100004</v>
      </c>
      <c r="I21">
        <v>25.559000000000001</v>
      </c>
      <c r="J21">
        <v>25.37667927</v>
      </c>
      <c r="K21">
        <v>98.912000000000006</v>
      </c>
      <c r="L21">
        <v>98.917442660000006</v>
      </c>
      <c r="M21">
        <v>-8507.9851959600001</v>
      </c>
      <c r="N21">
        <v>-2355.0980555000001</v>
      </c>
      <c r="O21">
        <v>-10848.650234950001</v>
      </c>
      <c r="P21">
        <v>-10863.083251460001</v>
      </c>
    </row>
    <row r="22" spans="1:16" x14ac:dyDescent="0.25">
      <c r="A22" s="1">
        <v>45949.061689814815</v>
      </c>
      <c r="B22">
        <v>6</v>
      </c>
      <c r="C22" t="s">
        <v>16</v>
      </c>
      <c r="D22">
        <v>79163.808600000004</v>
      </c>
      <c r="E22">
        <v>0</v>
      </c>
      <c r="F22">
        <v>0</v>
      </c>
      <c r="G22">
        <v>5000</v>
      </c>
      <c r="H22">
        <v>-19786.190655509999</v>
      </c>
      <c r="I22">
        <v>38.756</v>
      </c>
      <c r="J22">
        <v>38.714933780000003</v>
      </c>
      <c r="K22">
        <v>100</v>
      </c>
      <c r="L22">
        <v>100</v>
      </c>
      <c r="M22">
        <v>-15838.48387222</v>
      </c>
      <c r="N22">
        <v>-8901.2431385199998</v>
      </c>
      <c r="O22">
        <v>-24732.23900922</v>
      </c>
      <c r="P22">
        <v>-24739.72701074</v>
      </c>
    </row>
    <row r="23" spans="1:16" x14ac:dyDescent="0.25">
      <c r="A23" s="1">
        <v>45949.061689814815</v>
      </c>
      <c r="B23">
        <v>6</v>
      </c>
      <c r="C23" t="s">
        <v>17</v>
      </c>
      <c r="D23">
        <v>70485.421499999997</v>
      </c>
      <c r="E23">
        <v>0.17180000000000001</v>
      </c>
      <c r="F23">
        <v>0</v>
      </c>
      <c r="G23">
        <v>5000</v>
      </c>
      <c r="H23">
        <v>-19786.190655509999</v>
      </c>
      <c r="I23">
        <v>37.796999999999997</v>
      </c>
      <c r="J23">
        <v>38.033572280000001</v>
      </c>
      <c r="K23">
        <v>100</v>
      </c>
      <c r="L23">
        <v>100</v>
      </c>
      <c r="M23">
        <v>-14906.069298070001</v>
      </c>
      <c r="N23">
        <v>-9187.2604299699997</v>
      </c>
      <c r="O23">
        <v>-24093.198520469999</v>
      </c>
      <c r="P23">
        <v>-24093.32972804</v>
      </c>
    </row>
    <row r="24" spans="1:16" x14ac:dyDescent="0.25">
      <c r="A24" s="1">
        <v>45949.061689814815</v>
      </c>
      <c r="B24">
        <v>6</v>
      </c>
      <c r="C24" t="s">
        <v>18</v>
      </c>
      <c r="D24">
        <v>61945.340499999998</v>
      </c>
      <c r="E24">
        <v>0</v>
      </c>
      <c r="F24">
        <v>3561.9944</v>
      </c>
      <c r="G24">
        <v>5000</v>
      </c>
      <c r="H24">
        <v>-19786.190655509999</v>
      </c>
      <c r="I24">
        <v>31.213000000000001</v>
      </c>
      <c r="J24">
        <v>31.36936905</v>
      </c>
      <c r="K24">
        <v>100</v>
      </c>
      <c r="L24">
        <v>100</v>
      </c>
      <c r="M24">
        <v>-10737.794700619999</v>
      </c>
      <c r="N24">
        <v>-711.34417131999999</v>
      </c>
      <c r="O24">
        <v>-11466.90157333</v>
      </c>
      <c r="P24">
        <v>-11449.13887194</v>
      </c>
    </row>
    <row r="25" spans="1:16" x14ac:dyDescent="0.25">
      <c r="A25" s="1">
        <v>45949.061689814815</v>
      </c>
      <c r="B25">
        <v>6</v>
      </c>
      <c r="C25" t="s">
        <v>19</v>
      </c>
      <c r="D25">
        <v>46143.780599999998</v>
      </c>
      <c r="E25">
        <v>0.25140000000000001</v>
      </c>
      <c r="F25">
        <v>4204.5452999999998</v>
      </c>
      <c r="G25">
        <v>5000</v>
      </c>
      <c r="H25">
        <v>-19786.190655509999</v>
      </c>
      <c r="I25">
        <v>23.562000000000001</v>
      </c>
      <c r="J25">
        <v>23.64693025</v>
      </c>
      <c r="K25">
        <v>100</v>
      </c>
      <c r="L25">
        <v>100</v>
      </c>
      <c r="M25">
        <v>-8094.8830006600001</v>
      </c>
      <c r="N25">
        <v>-3072.4722663799998</v>
      </c>
      <c r="O25">
        <v>-11197.91052926</v>
      </c>
      <c r="P25">
        <v>-11167.35526704</v>
      </c>
    </row>
    <row r="26" spans="1:16" x14ac:dyDescent="0.25">
      <c r="A26" s="1">
        <v>45949.061759259261</v>
      </c>
      <c r="B26">
        <v>7</v>
      </c>
      <c r="C26" t="s">
        <v>16</v>
      </c>
      <c r="D26">
        <v>22261.088199999998</v>
      </c>
      <c r="E26">
        <v>0</v>
      </c>
      <c r="F26">
        <v>0</v>
      </c>
      <c r="G26">
        <v>5000</v>
      </c>
      <c r="H26">
        <v>14163.1089589</v>
      </c>
      <c r="I26">
        <v>0.81799999999999995</v>
      </c>
      <c r="J26">
        <v>0.83136129999999997</v>
      </c>
      <c r="K26">
        <v>0</v>
      </c>
      <c r="L26">
        <v>0</v>
      </c>
      <c r="M26">
        <v>-4228.6698909400002</v>
      </c>
      <c r="N26">
        <v>-5028.0873926800004</v>
      </c>
      <c r="O26">
        <v>-9251.8640128900006</v>
      </c>
      <c r="P26">
        <v>-9256.7572836199997</v>
      </c>
    </row>
    <row r="27" spans="1:16" x14ac:dyDescent="0.25">
      <c r="A27" s="1">
        <v>45949.061759259261</v>
      </c>
      <c r="B27">
        <v>7</v>
      </c>
      <c r="C27" t="s">
        <v>17</v>
      </c>
      <c r="D27">
        <v>16106.5414</v>
      </c>
      <c r="E27">
        <v>0.58609999999999995</v>
      </c>
      <c r="F27">
        <v>0</v>
      </c>
      <c r="G27">
        <v>5000</v>
      </c>
      <c r="H27">
        <v>14163.1089589</v>
      </c>
      <c r="I27">
        <v>0</v>
      </c>
      <c r="J27">
        <v>0</v>
      </c>
      <c r="K27">
        <v>0</v>
      </c>
      <c r="L27">
        <v>0</v>
      </c>
      <c r="M27">
        <v>-3655.3050535500001</v>
      </c>
      <c r="N27">
        <v>-5177.05058938</v>
      </c>
      <c r="O27">
        <v>-8824.4595763199995</v>
      </c>
      <c r="P27">
        <v>-8832.3556429300006</v>
      </c>
    </row>
    <row r="28" spans="1:16" x14ac:dyDescent="0.25">
      <c r="A28" s="1">
        <v>45949.061759259261</v>
      </c>
      <c r="B28">
        <v>7</v>
      </c>
      <c r="C28" t="s">
        <v>18</v>
      </c>
      <c r="D28">
        <v>22261.088199999998</v>
      </c>
      <c r="E28">
        <v>0</v>
      </c>
      <c r="F28">
        <v>0</v>
      </c>
      <c r="G28">
        <v>5000</v>
      </c>
      <c r="H28">
        <v>14163.1089589</v>
      </c>
      <c r="I28">
        <v>0.86399999999999999</v>
      </c>
      <c r="J28">
        <v>0.83136129999999997</v>
      </c>
      <c r="K28">
        <v>0</v>
      </c>
      <c r="L28">
        <v>0</v>
      </c>
      <c r="M28">
        <v>-4228.6698909400002</v>
      </c>
      <c r="N28">
        <v>-5028.0873926800004</v>
      </c>
      <c r="O28">
        <v>-9267.77314854</v>
      </c>
      <c r="P28">
        <v>-9256.7572836199997</v>
      </c>
    </row>
    <row r="29" spans="1:16" x14ac:dyDescent="0.25">
      <c r="A29" s="1">
        <v>45949.061759259261</v>
      </c>
      <c r="B29">
        <v>7</v>
      </c>
      <c r="C29" t="s">
        <v>19</v>
      </c>
      <c r="D29">
        <v>8870.1363999999994</v>
      </c>
      <c r="E29">
        <v>0.75</v>
      </c>
      <c r="F29">
        <v>1141.0880999999999</v>
      </c>
      <c r="G29">
        <v>5000</v>
      </c>
      <c r="H29">
        <v>14163.1089589</v>
      </c>
      <c r="I29">
        <v>0</v>
      </c>
      <c r="J29">
        <v>0</v>
      </c>
      <c r="K29">
        <v>0</v>
      </c>
      <c r="L29">
        <v>0</v>
      </c>
      <c r="M29">
        <v>-1542.0549164199999</v>
      </c>
      <c r="N29">
        <v>-7290.3007265099995</v>
      </c>
      <c r="O29">
        <v>-8818.7454121600003</v>
      </c>
      <c r="P29">
        <v>-8832.3556429300006</v>
      </c>
    </row>
    <row r="30" spans="1:16" x14ac:dyDescent="0.25">
      <c r="A30" s="1">
        <v>45949.061898148146</v>
      </c>
      <c r="B30">
        <v>8</v>
      </c>
      <c r="C30" t="s">
        <v>16</v>
      </c>
      <c r="D30">
        <v>27261.088199999998</v>
      </c>
      <c r="E30">
        <v>0</v>
      </c>
      <c r="F30">
        <v>0</v>
      </c>
      <c r="G30">
        <v>5000</v>
      </c>
      <c r="H30">
        <v>11180.00908743</v>
      </c>
      <c r="I30">
        <v>10.516</v>
      </c>
      <c r="J30">
        <v>10.399328560000001</v>
      </c>
      <c r="K30">
        <v>0</v>
      </c>
      <c r="L30">
        <v>0</v>
      </c>
      <c r="M30">
        <v>-5814.8573035600002</v>
      </c>
      <c r="N30">
        <v>-3969.0482439799998</v>
      </c>
      <c r="O30">
        <v>-9771.1843078300008</v>
      </c>
      <c r="P30">
        <v>-9783.90554754</v>
      </c>
    </row>
    <row r="31" spans="1:16" x14ac:dyDescent="0.25">
      <c r="A31" s="1">
        <v>45949.061898148146</v>
      </c>
      <c r="B31">
        <v>8</v>
      </c>
      <c r="C31" t="s">
        <v>17</v>
      </c>
      <c r="D31">
        <v>19079.307400000002</v>
      </c>
      <c r="E31">
        <v>0.52790000000000004</v>
      </c>
      <c r="F31">
        <v>0</v>
      </c>
      <c r="G31">
        <v>5000</v>
      </c>
      <c r="H31">
        <v>11180.00908743</v>
      </c>
      <c r="I31">
        <v>0.83799999999999997</v>
      </c>
      <c r="J31">
        <v>0.81550482000000002</v>
      </c>
      <c r="K31">
        <v>0</v>
      </c>
      <c r="L31">
        <v>0</v>
      </c>
      <c r="M31">
        <v>-4224.8150038000003</v>
      </c>
      <c r="N31">
        <v>-4723.3478385799999</v>
      </c>
      <c r="O31">
        <v>-8946.8006601100005</v>
      </c>
      <c r="P31">
        <v>-8948.1628423799993</v>
      </c>
    </row>
    <row r="32" spans="1:16" x14ac:dyDescent="0.25">
      <c r="A32" s="1">
        <v>45949.061898148146</v>
      </c>
      <c r="B32">
        <v>8</v>
      </c>
      <c r="C32" t="s">
        <v>18</v>
      </c>
      <c r="D32">
        <v>27261.088199999998</v>
      </c>
      <c r="E32">
        <v>0</v>
      </c>
      <c r="F32">
        <v>0</v>
      </c>
      <c r="G32">
        <v>5000</v>
      </c>
      <c r="H32">
        <v>11180.00908743</v>
      </c>
      <c r="I32">
        <v>10.215999999999999</v>
      </c>
      <c r="J32">
        <v>10.399328560000001</v>
      </c>
      <c r="K32">
        <v>0</v>
      </c>
      <c r="L32">
        <v>0</v>
      </c>
      <c r="M32">
        <v>-5814.8573035600002</v>
      </c>
      <c r="N32">
        <v>-3969.0482439799998</v>
      </c>
      <c r="O32">
        <v>-9767.7619432699994</v>
      </c>
      <c r="P32">
        <v>-9783.90554754</v>
      </c>
    </row>
    <row r="33" spans="1:16" x14ac:dyDescent="0.25">
      <c r="A33" s="1">
        <v>45949.061898148146</v>
      </c>
      <c r="B33">
        <v>8</v>
      </c>
      <c r="C33" t="s">
        <v>19</v>
      </c>
      <c r="D33">
        <v>11073.482</v>
      </c>
      <c r="E33">
        <v>0.71879999999999999</v>
      </c>
      <c r="F33">
        <v>1044.0718999999999</v>
      </c>
      <c r="G33">
        <v>5000</v>
      </c>
      <c r="H33">
        <v>11180.00908743</v>
      </c>
      <c r="I33">
        <v>0</v>
      </c>
      <c r="J33">
        <v>0</v>
      </c>
      <c r="K33">
        <v>0</v>
      </c>
      <c r="L33">
        <v>0</v>
      </c>
      <c r="M33">
        <v>-2042.19896182</v>
      </c>
      <c r="N33">
        <v>-6905.9638805499999</v>
      </c>
      <c r="O33">
        <v>-8947.1350910000001</v>
      </c>
      <c r="P33">
        <v>-8948.1628423700004</v>
      </c>
    </row>
    <row r="34" spans="1:16" x14ac:dyDescent="0.25">
      <c r="A34" s="1">
        <v>45949.061979166669</v>
      </c>
      <c r="B34">
        <v>9</v>
      </c>
      <c r="C34" t="s">
        <v>16</v>
      </c>
      <c r="D34">
        <v>47261.088199999998</v>
      </c>
      <c r="E34">
        <v>0</v>
      </c>
      <c r="F34">
        <v>0</v>
      </c>
      <c r="G34">
        <v>5000</v>
      </c>
      <c r="H34">
        <v>-752.39039844000001</v>
      </c>
      <c r="I34">
        <v>36.741</v>
      </c>
      <c r="J34">
        <v>36.780744230000003</v>
      </c>
      <c r="K34">
        <v>100</v>
      </c>
      <c r="L34">
        <v>100</v>
      </c>
      <c r="M34">
        <v>-15592.483888049999</v>
      </c>
      <c r="N34">
        <v>-338.47899215000001</v>
      </c>
      <c r="O34">
        <v>-16009.090289100001</v>
      </c>
      <c r="P34">
        <v>-15930.96288021</v>
      </c>
    </row>
    <row r="35" spans="1:16" x14ac:dyDescent="0.25">
      <c r="A35" s="1">
        <v>45949.061979166669</v>
      </c>
      <c r="B35">
        <v>9</v>
      </c>
      <c r="C35" t="s">
        <v>17</v>
      </c>
      <c r="D35">
        <v>46170.130499999999</v>
      </c>
      <c r="E35">
        <v>3.0700000000000002E-2</v>
      </c>
      <c r="F35">
        <v>0</v>
      </c>
      <c r="G35">
        <v>5000</v>
      </c>
      <c r="H35">
        <v>-752.39039844000001</v>
      </c>
      <c r="I35">
        <v>36.298000000000002</v>
      </c>
      <c r="J35">
        <v>36.361620449999997</v>
      </c>
      <c r="K35">
        <v>100</v>
      </c>
      <c r="L35">
        <v>100</v>
      </c>
      <c r="M35">
        <v>-15104.480787050001</v>
      </c>
      <c r="N35">
        <v>-718.88939729000003</v>
      </c>
      <c r="O35">
        <v>-15909.577376929999</v>
      </c>
      <c r="P35">
        <v>-15823.37018435</v>
      </c>
    </row>
    <row r="36" spans="1:16" x14ac:dyDescent="0.25">
      <c r="A36" s="1">
        <v>45949.061979166669</v>
      </c>
      <c r="B36">
        <v>9</v>
      </c>
      <c r="C36" t="s">
        <v>18</v>
      </c>
      <c r="D36">
        <v>46673.758099999999</v>
      </c>
      <c r="E36">
        <v>0</v>
      </c>
      <c r="F36">
        <v>121.5013</v>
      </c>
      <c r="G36">
        <v>5000</v>
      </c>
      <c r="H36">
        <v>-752.39039844000001</v>
      </c>
      <c r="I36">
        <v>36.927999999999997</v>
      </c>
      <c r="J36">
        <v>36.643579600000002</v>
      </c>
      <c r="K36">
        <v>100</v>
      </c>
      <c r="L36">
        <v>100</v>
      </c>
      <c r="M36">
        <v>-15615.45760607</v>
      </c>
      <c r="N36">
        <v>-25.654680209999999</v>
      </c>
      <c r="O36">
        <v>-15572.11188581</v>
      </c>
      <c r="P36">
        <v>-15641.11228628</v>
      </c>
    </row>
    <row r="37" spans="1:16" x14ac:dyDescent="0.25">
      <c r="A37" s="1">
        <v>45949.061979166669</v>
      </c>
      <c r="B37">
        <v>9</v>
      </c>
      <c r="C37" t="s">
        <v>19</v>
      </c>
      <c r="D37">
        <v>24869.409100000001</v>
      </c>
      <c r="E37">
        <v>0.5</v>
      </c>
      <c r="F37">
        <v>960.22680000000003</v>
      </c>
      <c r="G37">
        <v>5000</v>
      </c>
      <c r="H37">
        <v>-752.39039844000001</v>
      </c>
      <c r="I37">
        <v>21.294</v>
      </c>
      <c r="J37">
        <v>21.393459870000001</v>
      </c>
      <c r="K37">
        <v>56.4</v>
      </c>
      <c r="L37">
        <v>56.442903790000003</v>
      </c>
      <c r="M37">
        <v>-7759.3550900099999</v>
      </c>
      <c r="N37">
        <v>-7866.8223065700004</v>
      </c>
      <c r="O37">
        <v>-15650.6274627</v>
      </c>
      <c r="P37">
        <v>-15626.17739658</v>
      </c>
    </row>
    <row r="38" spans="1:16" x14ac:dyDescent="0.25">
      <c r="A38" s="1">
        <v>45949.062048611115</v>
      </c>
      <c r="B38">
        <v>10</v>
      </c>
      <c r="C38" t="s">
        <v>16</v>
      </c>
      <c r="D38">
        <v>57261.088199999998</v>
      </c>
      <c r="E38">
        <v>0</v>
      </c>
      <c r="F38">
        <v>0</v>
      </c>
      <c r="G38">
        <v>5000</v>
      </c>
      <c r="H38">
        <v>-6718.5901413800002</v>
      </c>
      <c r="I38">
        <v>40.067</v>
      </c>
      <c r="J38">
        <v>40.127391260000003</v>
      </c>
      <c r="K38">
        <v>100</v>
      </c>
      <c r="L38">
        <v>100</v>
      </c>
      <c r="M38">
        <v>-21106.796536450001</v>
      </c>
      <c r="N38">
        <v>-3022.5021803300001</v>
      </c>
      <c r="O38">
        <v>-24069.333689179999</v>
      </c>
      <c r="P38">
        <v>-24129.298716770001</v>
      </c>
    </row>
    <row r="39" spans="1:16" x14ac:dyDescent="0.25">
      <c r="A39" s="1">
        <v>45949.062048611115</v>
      </c>
      <c r="B39">
        <v>10</v>
      </c>
      <c r="C39" t="s">
        <v>17</v>
      </c>
      <c r="D39">
        <v>46635.167399999998</v>
      </c>
      <c r="E39">
        <v>0.23350000000000001</v>
      </c>
      <c r="F39">
        <v>0</v>
      </c>
      <c r="G39">
        <v>5000</v>
      </c>
      <c r="H39">
        <v>-6718.5901413800002</v>
      </c>
      <c r="I39">
        <v>37.149000000000001</v>
      </c>
      <c r="J39">
        <v>37.11926716</v>
      </c>
      <c r="K39">
        <v>100</v>
      </c>
      <c r="L39">
        <v>100</v>
      </c>
      <c r="M39">
        <v>-16012.15564979</v>
      </c>
      <c r="N39">
        <v>-7028.9194605299999</v>
      </c>
      <c r="O39">
        <v>-23083.405320329999</v>
      </c>
      <c r="P39">
        <v>-23041.075110319998</v>
      </c>
    </row>
    <row r="40" spans="1:16" x14ac:dyDescent="0.25">
      <c r="A40" s="1">
        <v>45949.062048611115</v>
      </c>
      <c r="B40">
        <v>10</v>
      </c>
      <c r="C40" t="s">
        <v>18</v>
      </c>
      <c r="D40">
        <v>52451.0504</v>
      </c>
      <c r="E40">
        <v>0</v>
      </c>
      <c r="F40">
        <v>995.05529999999999</v>
      </c>
      <c r="G40">
        <v>5000</v>
      </c>
      <c r="H40">
        <v>-6718.5901413800002</v>
      </c>
      <c r="I40">
        <v>39.338999999999999</v>
      </c>
      <c r="J40">
        <v>39.288446610000001</v>
      </c>
      <c r="K40">
        <v>100</v>
      </c>
      <c r="L40">
        <v>100</v>
      </c>
      <c r="M40">
        <v>-21825.32786388</v>
      </c>
      <c r="N40">
        <v>-279.83920941999997</v>
      </c>
      <c r="O40">
        <v>-22161.369972619999</v>
      </c>
      <c r="P40">
        <v>-22105.167073289998</v>
      </c>
    </row>
    <row r="41" spans="1:16" x14ac:dyDescent="0.25">
      <c r="A41" s="1">
        <v>45949.062048611115</v>
      </c>
      <c r="B41">
        <v>10</v>
      </c>
      <c r="C41" t="s">
        <v>19</v>
      </c>
      <c r="D41">
        <v>28121.4977</v>
      </c>
      <c r="E41">
        <v>0.5</v>
      </c>
      <c r="F41">
        <v>1321.8182999999999</v>
      </c>
      <c r="G41">
        <v>5000</v>
      </c>
      <c r="H41">
        <v>-6718.5901413800002</v>
      </c>
      <c r="I41">
        <v>28.001000000000001</v>
      </c>
      <c r="J41">
        <v>28.025896580000001</v>
      </c>
      <c r="K41">
        <v>80.820999999999998</v>
      </c>
      <c r="L41">
        <v>80.737969949999993</v>
      </c>
      <c r="M41">
        <v>-10835.145361700001</v>
      </c>
      <c r="N41">
        <v>-11199.97216807</v>
      </c>
      <c r="O41">
        <v>-22027.757838940001</v>
      </c>
      <c r="P41">
        <v>-22035.117529769999</v>
      </c>
    </row>
    <row r="42" spans="1:16" x14ac:dyDescent="0.25">
      <c r="A42" s="1">
        <v>45949.062152777777</v>
      </c>
      <c r="B42">
        <v>11</v>
      </c>
      <c r="C42" t="s">
        <v>16</v>
      </c>
      <c r="D42">
        <v>67261.088199999998</v>
      </c>
      <c r="E42">
        <v>0</v>
      </c>
      <c r="F42">
        <v>0</v>
      </c>
      <c r="G42">
        <v>5000</v>
      </c>
      <c r="H42">
        <v>-12684.78988432</v>
      </c>
      <c r="I42">
        <v>42.094999999999999</v>
      </c>
      <c r="J42">
        <v>42.121857679999998</v>
      </c>
      <c r="K42">
        <v>100</v>
      </c>
      <c r="L42">
        <v>100</v>
      </c>
      <c r="M42">
        <v>-26731.560667829999</v>
      </c>
      <c r="N42">
        <v>-5706.5253684899999</v>
      </c>
      <c r="O42">
        <v>-32319.337976170002</v>
      </c>
      <c r="P42">
        <v>-32438.086036320001</v>
      </c>
    </row>
    <row r="43" spans="1:16" x14ac:dyDescent="0.25">
      <c r="A43" s="1">
        <v>45949.062152777777</v>
      </c>
      <c r="B43">
        <v>11</v>
      </c>
      <c r="C43" t="s">
        <v>17</v>
      </c>
      <c r="D43">
        <v>46600.189899999998</v>
      </c>
      <c r="E43">
        <v>0.37230000000000002</v>
      </c>
      <c r="F43">
        <v>0</v>
      </c>
      <c r="G43">
        <v>5000</v>
      </c>
      <c r="H43">
        <v>-12684.78988432</v>
      </c>
      <c r="I43">
        <v>37.256</v>
      </c>
      <c r="J43">
        <v>37.449822810000001</v>
      </c>
      <c r="K43">
        <v>100</v>
      </c>
      <c r="L43">
        <v>100</v>
      </c>
      <c r="M43">
        <v>-16445.756541819999</v>
      </c>
      <c r="N43">
        <v>-13820.397373199999</v>
      </c>
      <c r="O43">
        <v>-30229.78209479</v>
      </c>
      <c r="P43">
        <v>-30266.153915020001</v>
      </c>
    </row>
    <row r="44" spans="1:16" x14ac:dyDescent="0.25">
      <c r="A44" s="1">
        <v>45949.062152777777</v>
      </c>
      <c r="B44">
        <v>11</v>
      </c>
      <c r="C44" t="s">
        <v>18</v>
      </c>
      <c r="D44">
        <v>58414.594799999999</v>
      </c>
      <c r="E44">
        <v>0</v>
      </c>
      <c r="F44">
        <v>1830.0791999999999</v>
      </c>
      <c r="G44">
        <v>5000</v>
      </c>
      <c r="H44">
        <v>-12684.78988432</v>
      </c>
      <c r="I44">
        <v>40.887999999999998</v>
      </c>
      <c r="J44">
        <v>40.890603050000003</v>
      </c>
      <c r="K44">
        <v>100</v>
      </c>
      <c r="L44">
        <v>100</v>
      </c>
      <c r="M44">
        <v>-28443.341750889998</v>
      </c>
      <c r="N44">
        <v>-579.22891386000003</v>
      </c>
      <c r="O44">
        <v>-29181.073900160001</v>
      </c>
      <c r="P44">
        <v>-29022.57066474</v>
      </c>
    </row>
    <row r="45" spans="1:16" x14ac:dyDescent="0.25">
      <c r="A45" s="1">
        <v>45949.062152777777</v>
      </c>
      <c r="B45">
        <v>11</v>
      </c>
      <c r="C45" t="s">
        <v>19</v>
      </c>
      <c r="D45">
        <v>17762.21</v>
      </c>
      <c r="E45">
        <v>0.75</v>
      </c>
      <c r="F45">
        <v>1628.8737000000001</v>
      </c>
      <c r="G45">
        <v>5000</v>
      </c>
      <c r="H45">
        <v>-12684.78988432</v>
      </c>
      <c r="I45">
        <v>14.132999999999999</v>
      </c>
      <c r="J45">
        <v>14.103886360000001</v>
      </c>
      <c r="K45">
        <v>80.215999999999994</v>
      </c>
      <c r="L45">
        <v>80.09564365</v>
      </c>
      <c r="M45">
        <v>-6934.5731354199997</v>
      </c>
      <c r="N45">
        <v>-21985.698695930001</v>
      </c>
      <c r="O45">
        <v>-28891.922157910001</v>
      </c>
      <c r="P45">
        <v>-28920.271831350001</v>
      </c>
    </row>
    <row r="46" spans="1:16" x14ac:dyDescent="0.25">
      <c r="A46" s="1">
        <v>45949.062210648146</v>
      </c>
      <c r="B46">
        <v>12</v>
      </c>
      <c r="C46" t="s">
        <v>16</v>
      </c>
      <c r="D46">
        <v>32693.694599999999</v>
      </c>
      <c r="E46">
        <v>0</v>
      </c>
      <c r="F46">
        <v>0</v>
      </c>
      <c r="G46">
        <v>5000</v>
      </c>
      <c r="H46">
        <v>10912.44766267</v>
      </c>
      <c r="I46">
        <v>34.597000000000001</v>
      </c>
      <c r="J46">
        <v>34.419237549999998</v>
      </c>
      <c r="K46">
        <v>0</v>
      </c>
      <c r="L46">
        <v>0</v>
      </c>
      <c r="M46">
        <v>-14378.07152408</v>
      </c>
      <c r="N46">
        <v>-955.82410787000003</v>
      </c>
      <c r="O46">
        <v>-15355.396947359999</v>
      </c>
      <c r="P46">
        <v>-15333.895631949999</v>
      </c>
    </row>
    <row r="47" spans="1:16" x14ac:dyDescent="0.25">
      <c r="A47" s="1">
        <v>45949.062210648146</v>
      </c>
      <c r="B47">
        <v>12</v>
      </c>
      <c r="C47" t="s">
        <v>17</v>
      </c>
      <c r="D47">
        <v>19943.694599999999</v>
      </c>
      <c r="E47">
        <v>0.5</v>
      </c>
      <c r="F47">
        <v>0</v>
      </c>
      <c r="G47">
        <v>5000</v>
      </c>
      <c r="H47">
        <v>10912.44766267</v>
      </c>
      <c r="I47">
        <v>18.898</v>
      </c>
      <c r="J47">
        <v>18.8384751</v>
      </c>
      <c r="K47">
        <v>0</v>
      </c>
      <c r="L47">
        <v>0</v>
      </c>
      <c r="M47">
        <v>-7205.6691482099995</v>
      </c>
      <c r="N47">
        <v>-7208.7045670799998</v>
      </c>
      <c r="O47">
        <v>-14430.412079129999</v>
      </c>
      <c r="P47">
        <v>-14414.373715289999</v>
      </c>
    </row>
    <row r="48" spans="1:16" x14ac:dyDescent="0.25">
      <c r="A48" s="1">
        <v>45949.062210648146</v>
      </c>
      <c r="B48">
        <v>12</v>
      </c>
      <c r="C48" t="s">
        <v>18</v>
      </c>
      <c r="D48">
        <v>32693.694599999999</v>
      </c>
      <c r="E48">
        <v>0</v>
      </c>
      <c r="F48">
        <v>0</v>
      </c>
      <c r="G48">
        <v>5000</v>
      </c>
      <c r="H48">
        <v>10912.44766267</v>
      </c>
      <c r="I48">
        <v>34.335000000000001</v>
      </c>
      <c r="J48">
        <v>34.419237549999998</v>
      </c>
      <c r="K48">
        <v>0</v>
      </c>
      <c r="L48">
        <v>0</v>
      </c>
      <c r="M48">
        <v>-14378.07152408</v>
      </c>
      <c r="N48">
        <v>-955.82410787000003</v>
      </c>
      <c r="O48">
        <v>-15361.90712027</v>
      </c>
      <c r="P48">
        <v>-15333.895631949999</v>
      </c>
    </row>
    <row r="49" spans="1:16" x14ac:dyDescent="0.25">
      <c r="A49" s="1">
        <v>45949.062210648146</v>
      </c>
      <c r="B49">
        <v>12</v>
      </c>
      <c r="C49" t="s">
        <v>19</v>
      </c>
      <c r="D49">
        <v>19435.7536</v>
      </c>
      <c r="E49">
        <v>0.5</v>
      </c>
      <c r="F49">
        <v>258.2722</v>
      </c>
      <c r="G49">
        <v>5000</v>
      </c>
      <c r="H49">
        <v>10912.44766267</v>
      </c>
      <c r="I49">
        <v>18.832000000000001</v>
      </c>
      <c r="J49">
        <v>18.794355419999999</v>
      </c>
      <c r="K49">
        <v>0</v>
      </c>
      <c r="L49">
        <v>0</v>
      </c>
      <c r="M49">
        <v>-7198.6370569000001</v>
      </c>
      <c r="N49">
        <v>-7215.7366583800003</v>
      </c>
      <c r="O49">
        <v>-14438.548564799999</v>
      </c>
      <c r="P49">
        <v>-14414.373715289999</v>
      </c>
    </row>
    <row r="50" spans="1:16" x14ac:dyDescent="0.25">
      <c r="A50" s="1">
        <v>45949.062268518515</v>
      </c>
      <c r="B50">
        <v>13</v>
      </c>
      <c r="C50" t="s">
        <v>16</v>
      </c>
      <c r="D50">
        <v>34543.926700000004</v>
      </c>
      <c r="E50">
        <v>0</v>
      </c>
      <c r="F50">
        <v>0</v>
      </c>
      <c r="G50">
        <v>5000</v>
      </c>
      <c r="H50">
        <v>8157.3148790400001</v>
      </c>
      <c r="I50">
        <v>32.527000000000001</v>
      </c>
      <c r="J50">
        <v>32.373210460000003</v>
      </c>
      <c r="K50">
        <v>0</v>
      </c>
      <c r="L50">
        <v>0</v>
      </c>
      <c r="M50">
        <v>-12445.13816421</v>
      </c>
      <c r="N50">
        <v>-1710.9266795799999</v>
      </c>
      <c r="O50">
        <v>-14123.431354189999</v>
      </c>
      <c r="P50">
        <v>-14156.06484379</v>
      </c>
    </row>
    <row r="51" spans="1:16" x14ac:dyDescent="0.25">
      <c r="A51" s="1">
        <v>45949.062268518515</v>
      </c>
      <c r="B51">
        <v>13</v>
      </c>
      <c r="C51" t="s">
        <v>17</v>
      </c>
      <c r="D51">
        <v>22989.2392</v>
      </c>
      <c r="E51">
        <v>0.4531</v>
      </c>
      <c r="F51">
        <v>0</v>
      </c>
      <c r="G51">
        <v>5000</v>
      </c>
      <c r="H51">
        <v>8157.3148790400001</v>
      </c>
      <c r="I51">
        <v>17.71</v>
      </c>
      <c r="J51">
        <v>17.768156279999999</v>
      </c>
      <c r="K51">
        <v>0</v>
      </c>
      <c r="L51">
        <v>0</v>
      </c>
      <c r="M51">
        <v>-6899.1675670699997</v>
      </c>
      <c r="N51">
        <v>-5713.8112478599996</v>
      </c>
      <c r="O51">
        <v>-12629.37256238</v>
      </c>
      <c r="P51">
        <v>-12612.97881493</v>
      </c>
    </row>
    <row r="52" spans="1:16" x14ac:dyDescent="0.25">
      <c r="A52" s="1">
        <v>45949.062268518515</v>
      </c>
      <c r="B52">
        <v>13</v>
      </c>
      <c r="C52" t="s">
        <v>18</v>
      </c>
      <c r="D52">
        <v>34543.926700000004</v>
      </c>
      <c r="E52">
        <v>0</v>
      </c>
      <c r="F52">
        <v>0</v>
      </c>
      <c r="G52">
        <v>5000</v>
      </c>
      <c r="H52">
        <v>8157.3148790400001</v>
      </c>
      <c r="I52">
        <v>32.158000000000001</v>
      </c>
      <c r="J52">
        <v>32.373210460000003</v>
      </c>
      <c r="K52">
        <v>0</v>
      </c>
      <c r="L52">
        <v>0</v>
      </c>
      <c r="M52">
        <v>-12445.13816421</v>
      </c>
      <c r="N52">
        <v>-1710.9266795799999</v>
      </c>
      <c r="O52">
        <v>-14222.941344090001</v>
      </c>
      <c r="P52">
        <v>-14156.06484379</v>
      </c>
    </row>
    <row r="53" spans="1:16" x14ac:dyDescent="0.25">
      <c r="A53" s="1">
        <v>45949.062268518515</v>
      </c>
      <c r="B53">
        <v>13</v>
      </c>
      <c r="C53" t="s">
        <v>19</v>
      </c>
      <c r="D53">
        <v>17269.089800000002</v>
      </c>
      <c r="E53">
        <v>0.625</v>
      </c>
      <c r="F53">
        <v>406.17309999999998</v>
      </c>
      <c r="G53">
        <v>5000</v>
      </c>
      <c r="H53">
        <v>8157.3148790400001</v>
      </c>
      <c r="I53">
        <v>2.73</v>
      </c>
      <c r="J53">
        <v>2.71284714</v>
      </c>
      <c r="K53">
        <v>3.37</v>
      </c>
      <c r="L53">
        <v>3.3867396300000001</v>
      </c>
      <c r="M53">
        <v>-4736.7543530499997</v>
      </c>
      <c r="N53">
        <v>-7876.2244618900004</v>
      </c>
      <c r="O53">
        <v>-12600.631616209999</v>
      </c>
      <c r="P53">
        <v>-12612.97881493</v>
      </c>
    </row>
    <row r="54" spans="1:16" x14ac:dyDescent="0.25">
      <c r="A54" s="1">
        <v>45949.062418981484</v>
      </c>
      <c r="B54">
        <v>14</v>
      </c>
      <c r="C54" t="s">
        <v>16</v>
      </c>
      <c r="D54">
        <v>41036.674400000004</v>
      </c>
      <c r="E54">
        <v>0</v>
      </c>
      <c r="F54">
        <v>0</v>
      </c>
      <c r="G54">
        <v>5000</v>
      </c>
      <c r="H54">
        <v>2416.81076867</v>
      </c>
      <c r="I54">
        <v>28.468</v>
      </c>
      <c r="J54">
        <v>28.26235638</v>
      </c>
      <c r="K54">
        <v>0</v>
      </c>
      <c r="L54">
        <v>0</v>
      </c>
      <c r="M54">
        <v>-8761.6402491499994</v>
      </c>
      <c r="N54">
        <v>-1229.04267162</v>
      </c>
      <c r="O54">
        <v>-9970.5633930099993</v>
      </c>
      <c r="P54">
        <v>-9990.6829207800001</v>
      </c>
    </row>
    <row r="55" spans="1:16" x14ac:dyDescent="0.25">
      <c r="A55" s="1">
        <v>45949.062418981484</v>
      </c>
      <c r="B55">
        <v>14</v>
      </c>
      <c r="C55" t="s">
        <v>17</v>
      </c>
      <c r="D55">
        <v>36073.350299999998</v>
      </c>
      <c r="E55">
        <v>0.1946</v>
      </c>
      <c r="F55">
        <v>0</v>
      </c>
      <c r="G55">
        <v>5000</v>
      </c>
      <c r="H55">
        <v>2416.81076867</v>
      </c>
      <c r="I55">
        <v>22.994</v>
      </c>
      <c r="J55">
        <v>23.008781259999999</v>
      </c>
      <c r="K55">
        <v>0</v>
      </c>
      <c r="L55">
        <v>0</v>
      </c>
      <c r="M55">
        <v>-7543.2875343899996</v>
      </c>
      <c r="N55">
        <v>-1823.0694628199999</v>
      </c>
      <c r="O55">
        <v>-9401.3173910999994</v>
      </c>
      <c r="P55">
        <v>-9366.3569972000005</v>
      </c>
    </row>
    <row r="56" spans="1:16" x14ac:dyDescent="0.25">
      <c r="A56" s="1">
        <v>45949.062418981484</v>
      </c>
      <c r="B56">
        <v>14</v>
      </c>
      <c r="C56" t="s">
        <v>18</v>
      </c>
      <c r="D56">
        <v>41036.674400000004</v>
      </c>
      <c r="E56">
        <v>0</v>
      </c>
      <c r="F56">
        <v>0</v>
      </c>
      <c r="G56">
        <v>5000</v>
      </c>
      <c r="H56">
        <v>2416.81076867</v>
      </c>
      <c r="I56">
        <v>28.641999999999999</v>
      </c>
      <c r="J56">
        <v>28.26235638</v>
      </c>
      <c r="K56">
        <v>0</v>
      </c>
      <c r="L56">
        <v>0</v>
      </c>
      <c r="M56">
        <v>-8761.6402491499994</v>
      </c>
      <c r="N56">
        <v>-1229.04267162</v>
      </c>
      <c r="O56">
        <v>-9967.8997003099994</v>
      </c>
      <c r="P56">
        <v>-9990.6829207800001</v>
      </c>
    </row>
    <row r="57" spans="1:16" x14ac:dyDescent="0.25">
      <c r="A57" s="1">
        <v>45949.062418981484</v>
      </c>
      <c r="B57">
        <v>14</v>
      </c>
      <c r="C57" t="s">
        <v>19</v>
      </c>
      <c r="D57">
        <v>27320.363000000001</v>
      </c>
      <c r="E57">
        <v>0.375</v>
      </c>
      <c r="F57">
        <v>647.2482</v>
      </c>
      <c r="G57">
        <v>5000</v>
      </c>
      <c r="H57">
        <v>2416.81076867</v>
      </c>
      <c r="I57">
        <v>11.086</v>
      </c>
      <c r="J57">
        <v>11.018030250000001</v>
      </c>
      <c r="K57">
        <v>23.545999999999999</v>
      </c>
      <c r="L57">
        <v>23.571029299999999</v>
      </c>
      <c r="M57">
        <v>-5641.0043039100001</v>
      </c>
      <c r="N57">
        <v>-3725.3526932899999</v>
      </c>
      <c r="O57">
        <v>-9365.9949823900006</v>
      </c>
      <c r="P57">
        <v>-9366.3569972000005</v>
      </c>
    </row>
    <row r="58" spans="1:16" x14ac:dyDescent="0.25">
      <c r="A58" s="1">
        <v>45949.062581018516</v>
      </c>
      <c r="B58">
        <v>15</v>
      </c>
      <c r="C58" t="s">
        <v>16</v>
      </c>
      <c r="D58">
        <v>54416.131399999998</v>
      </c>
      <c r="E58">
        <v>0</v>
      </c>
      <c r="F58">
        <v>0</v>
      </c>
      <c r="G58">
        <v>5000</v>
      </c>
      <c r="H58">
        <v>-2481.4538218799999</v>
      </c>
      <c r="I58">
        <v>39.488999999999997</v>
      </c>
      <c r="J58">
        <v>39.557856770000001</v>
      </c>
      <c r="K58">
        <v>100</v>
      </c>
      <c r="L58">
        <v>100</v>
      </c>
      <c r="M58">
        <v>-8446.5140875100005</v>
      </c>
      <c r="N58">
        <v>-4105.8904074700004</v>
      </c>
      <c r="O58">
        <v>-12555.676324120001</v>
      </c>
      <c r="P58">
        <v>-12552.40449499</v>
      </c>
    </row>
    <row r="59" spans="1:16" x14ac:dyDescent="0.25">
      <c r="A59" s="1">
        <v>45949.062581018516</v>
      </c>
      <c r="B59">
        <v>15</v>
      </c>
      <c r="C59" t="s">
        <v>17</v>
      </c>
      <c r="D59">
        <v>52526.173600000002</v>
      </c>
      <c r="E59">
        <v>7.4099999999999999E-2</v>
      </c>
      <c r="F59">
        <v>0</v>
      </c>
      <c r="G59">
        <v>5000</v>
      </c>
      <c r="H59">
        <v>-2481.4538218799999</v>
      </c>
      <c r="I59">
        <v>39.075000000000003</v>
      </c>
      <c r="J59">
        <v>39.222229859999999</v>
      </c>
      <c r="K59">
        <v>100</v>
      </c>
      <c r="L59">
        <v>100</v>
      </c>
      <c r="M59">
        <v>-8384.30746955</v>
      </c>
      <c r="N59">
        <v>-4086.4267661200001</v>
      </c>
      <c r="O59">
        <v>-12455.004745349999</v>
      </c>
      <c r="P59">
        <v>-12470.73423566</v>
      </c>
    </row>
    <row r="60" spans="1:16" x14ac:dyDescent="0.25">
      <c r="A60" s="1">
        <v>45949.062581018516</v>
      </c>
      <c r="B60">
        <v>15</v>
      </c>
      <c r="C60" t="s">
        <v>18</v>
      </c>
      <c r="D60">
        <v>41072.360699999997</v>
      </c>
      <c r="E60">
        <v>0</v>
      </c>
      <c r="F60">
        <v>1433.0551</v>
      </c>
      <c r="G60">
        <v>5000</v>
      </c>
      <c r="H60">
        <v>-2481.4538218799999</v>
      </c>
      <c r="I60">
        <v>23.678999999999998</v>
      </c>
      <c r="J60">
        <v>23.613568870000002</v>
      </c>
      <c r="K60">
        <v>91.543999999999997</v>
      </c>
      <c r="L60">
        <v>91.591188009999996</v>
      </c>
      <c r="M60">
        <v>-6749.7231574199996</v>
      </c>
      <c r="N60">
        <v>-1246.69104515</v>
      </c>
      <c r="O60">
        <v>-8040.8833935599996</v>
      </c>
      <c r="P60">
        <v>-7996.4142025700003</v>
      </c>
    </row>
    <row r="61" spans="1:16" x14ac:dyDescent="0.25">
      <c r="A61" s="1">
        <v>45949.062581018516</v>
      </c>
      <c r="B61">
        <v>15</v>
      </c>
      <c r="C61" t="s">
        <v>19</v>
      </c>
      <c r="D61">
        <v>40708.159500000002</v>
      </c>
      <c r="E61">
        <v>9.1999999999999998E-3</v>
      </c>
      <c r="F61">
        <v>1446.9185</v>
      </c>
      <c r="G61">
        <v>5000</v>
      </c>
      <c r="H61">
        <v>-2481.4538218799999</v>
      </c>
      <c r="I61">
        <v>22.986999999999998</v>
      </c>
      <c r="J61">
        <v>23.342562820000001</v>
      </c>
      <c r="K61">
        <v>91.326999999999998</v>
      </c>
      <c r="L61">
        <v>91.397153930000002</v>
      </c>
      <c r="M61">
        <v>-6726.6402742299997</v>
      </c>
      <c r="N61">
        <v>-1260.35838029</v>
      </c>
      <c r="O61">
        <v>-8041.8647765400001</v>
      </c>
      <c r="P61">
        <v>-7986.9986545199999</v>
      </c>
    </row>
    <row r="62" spans="1:16" x14ac:dyDescent="0.25">
      <c r="A62" s="1">
        <v>45949.0627662037</v>
      </c>
      <c r="B62">
        <v>16</v>
      </c>
      <c r="C62" t="s">
        <v>16</v>
      </c>
      <c r="D62">
        <v>85884.200599999996</v>
      </c>
      <c r="E62">
        <v>0</v>
      </c>
      <c r="F62">
        <v>0</v>
      </c>
      <c r="G62">
        <v>5000</v>
      </c>
      <c r="H62">
        <v>-6099.9752577299996</v>
      </c>
      <c r="I62">
        <v>58.445999999999998</v>
      </c>
      <c r="J62">
        <v>58.379571910000003</v>
      </c>
      <c r="K62">
        <v>100</v>
      </c>
      <c r="L62">
        <v>100</v>
      </c>
      <c r="M62">
        <v>-9785.6096436400003</v>
      </c>
      <c r="N62">
        <v>-20769.214551689998</v>
      </c>
      <c r="O62">
        <v>-30454.30349283</v>
      </c>
      <c r="P62">
        <v>-30554.824195329998</v>
      </c>
    </row>
    <row r="63" spans="1:16" x14ac:dyDescent="0.25">
      <c r="A63" s="1">
        <v>45949.0627662037</v>
      </c>
      <c r="B63">
        <v>16</v>
      </c>
      <c r="C63" t="s">
        <v>17</v>
      </c>
      <c r="D63">
        <v>68986.938999999998</v>
      </c>
      <c r="E63">
        <v>0.66259999999999997</v>
      </c>
      <c r="F63">
        <v>0</v>
      </c>
      <c r="G63">
        <v>5000</v>
      </c>
      <c r="H63">
        <v>-6099.9752577299996</v>
      </c>
      <c r="I63">
        <v>58.125</v>
      </c>
      <c r="J63">
        <v>58.149993369999997</v>
      </c>
      <c r="K63">
        <v>100</v>
      </c>
      <c r="L63">
        <v>100</v>
      </c>
      <c r="M63">
        <v>-9782.6859412499998</v>
      </c>
      <c r="N63">
        <v>-20383.42040073</v>
      </c>
      <c r="O63">
        <v>-30161.252256830001</v>
      </c>
      <c r="P63">
        <v>-30166.106341980001</v>
      </c>
    </row>
    <row r="64" spans="1:16" x14ac:dyDescent="0.25">
      <c r="A64" s="1">
        <v>45949.0627662037</v>
      </c>
      <c r="B64">
        <v>16</v>
      </c>
      <c r="C64" t="s">
        <v>18</v>
      </c>
      <c r="D64">
        <v>40463.888800000001</v>
      </c>
      <c r="E64">
        <v>0</v>
      </c>
      <c r="F64">
        <v>4190.8663999999999</v>
      </c>
      <c r="G64">
        <v>5000</v>
      </c>
      <c r="H64">
        <v>-6099.9752577299996</v>
      </c>
      <c r="I64">
        <v>42.454000000000001</v>
      </c>
      <c r="J64">
        <v>42.325319659999998</v>
      </c>
      <c r="K64">
        <v>99.456999999999994</v>
      </c>
      <c r="L64">
        <v>99.455941640000006</v>
      </c>
      <c r="M64">
        <v>-9138.7038817800003</v>
      </c>
      <c r="N64">
        <v>-7263.5385601300004</v>
      </c>
      <c r="O64">
        <v>-16406.987330799999</v>
      </c>
      <c r="P64">
        <v>-16402.242441909999</v>
      </c>
    </row>
    <row r="65" spans="1:16" x14ac:dyDescent="0.25">
      <c r="A65" s="1">
        <v>45949.0627662037</v>
      </c>
      <c r="B65">
        <v>16</v>
      </c>
      <c r="C65" t="s">
        <v>19</v>
      </c>
      <c r="D65">
        <v>38872.411599999999</v>
      </c>
      <c r="E65">
        <v>6.2100000000000002E-2</v>
      </c>
      <c r="F65">
        <v>4191.6866</v>
      </c>
      <c r="G65">
        <v>5000</v>
      </c>
      <c r="H65">
        <v>-6099.9752577299996</v>
      </c>
      <c r="I65">
        <v>42.552</v>
      </c>
      <c r="J65">
        <v>42.306663190000002</v>
      </c>
      <c r="K65">
        <v>99.442999999999998</v>
      </c>
      <c r="L65">
        <v>99.452785289999994</v>
      </c>
      <c r="M65">
        <v>-9138.4373742999996</v>
      </c>
      <c r="N65">
        <v>-7215.6782623899999</v>
      </c>
      <c r="O65">
        <v>-16349.46944778</v>
      </c>
      <c r="P65">
        <v>-16354.11563669</v>
      </c>
    </row>
    <row r="66" spans="1:16" x14ac:dyDescent="0.25">
      <c r="A66" s="1">
        <v>45949.062824074077</v>
      </c>
      <c r="B66">
        <v>17</v>
      </c>
      <c r="C66" t="s">
        <v>16</v>
      </c>
      <c r="D66">
        <v>31949.849699999999</v>
      </c>
      <c r="E66">
        <v>0</v>
      </c>
      <c r="F66">
        <v>0</v>
      </c>
      <c r="G66">
        <v>5000</v>
      </c>
      <c r="H66">
        <v>12271.034615119999</v>
      </c>
      <c r="I66">
        <v>35.432000000000002</v>
      </c>
      <c r="J66">
        <v>35.382738330000002</v>
      </c>
      <c r="K66">
        <v>0</v>
      </c>
      <c r="L66">
        <v>0</v>
      </c>
      <c r="M66">
        <v>-15305.2925524</v>
      </c>
      <c r="N66">
        <v>-1204.97103434</v>
      </c>
      <c r="O66">
        <v>-16489.898785919999</v>
      </c>
      <c r="P66">
        <v>-16510.263586739999</v>
      </c>
    </row>
    <row r="67" spans="1:16" x14ac:dyDescent="0.25">
      <c r="A67" s="1">
        <v>45949.062824074077</v>
      </c>
      <c r="B67">
        <v>17</v>
      </c>
      <c r="C67" t="s">
        <v>17</v>
      </c>
      <c r="D67">
        <v>19199.849699999999</v>
      </c>
      <c r="E67">
        <v>0.5</v>
      </c>
      <c r="F67">
        <v>0</v>
      </c>
      <c r="G67">
        <v>5000</v>
      </c>
      <c r="H67">
        <v>12271.034615119999</v>
      </c>
      <c r="I67">
        <v>20.977</v>
      </c>
      <c r="J67">
        <v>20.765476660000001</v>
      </c>
      <c r="K67">
        <v>0</v>
      </c>
      <c r="L67">
        <v>0</v>
      </c>
      <c r="M67">
        <v>-7673.6867397200003</v>
      </c>
      <c r="N67">
        <v>-7683.2434639100002</v>
      </c>
      <c r="O67">
        <v>-15359.87606807</v>
      </c>
      <c r="P67">
        <v>-15356.93020363</v>
      </c>
    </row>
    <row r="68" spans="1:16" x14ac:dyDescent="0.25">
      <c r="A68" s="1">
        <v>45949.062824074077</v>
      </c>
      <c r="B68">
        <v>17</v>
      </c>
      <c r="C68" t="s">
        <v>18</v>
      </c>
      <c r="D68">
        <v>31949.849699999999</v>
      </c>
      <c r="E68">
        <v>0</v>
      </c>
      <c r="F68">
        <v>0</v>
      </c>
      <c r="G68">
        <v>5000</v>
      </c>
      <c r="H68">
        <v>12271.034615119999</v>
      </c>
      <c r="I68">
        <v>35.189</v>
      </c>
      <c r="J68">
        <v>35.382738330000002</v>
      </c>
      <c r="K68">
        <v>0</v>
      </c>
      <c r="L68">
        <v>0</v>
      </c>
      <c r="M68">
        <v>-15305.2925524</v>
      </c>
      <c r="N68">
        <v>-1204.97103434</v>
      </c>
      <c r="O68">
        <v>-16527.75474525</v>
      </c>
      <c r="P68">
        <v>-16510.263586739999</v>
      </c>
    </row>
    <row r="69" spans="1:16" x14ac:dyDescent="0.25">
      <c r="A69" s="1">
        <v>45949.062824074077</v>
      </c>
      <c r="B69">
        <v>17</v>
      </c>
      <c r="C69" t="s">
        <v>19</v>
      </c>
      <c r="D69">
        <v>18785.3639</v>
      </c>
      <c r="E69">
        <v>0.5</v>
      </c>
      <c r="F69">
        <v>77.744399999999999</v>
      </c>
      <c r="G69">
        <v>5000</v>
      </c>
      <c r="H69">
        <v>12271.034615119999</v>
      </c>
      <c r="I69">
        <v>20.58</v>
      </c>
      <c r="J69">
        <v>20.698254550000001</v>
      </c>
      <c r="K69">
        <v>0</v>
      </c>
      <c r="L69">
        <v>0</v>
      </c>
      <c r="M69">
        <v>-7662.2864595299998</v>
      </c>
      <c r="N69">
        <v>-7694.6437440999998</v>
      </c>
      <c r="O69">
        <v>-15398.00148175</v>
      </c>
      <c r="P69">
        <v>-15356.93020363</v>
      </c>
    </row>
    <row r="70" spans="1:16" x14ac:dyDescent="0.25">
      <c r="A70" s="1">
        <v>45949.062881944446</v>
      </c>
      <c r="B70">
        <v>18</v>
      </c>
      <c r="C70" t="s">
        <v>16</v>
      </c>
      <c r="D70">
        <v>33554.877099999998</v>
      </c>
      <c r="E70">
        <v>0</v>
      </c>
      <c r="F70">
        <v>0</v>
      </c>
      <c r="G70">
        <v>5000</v>
      </c>
      <c r="H70">
        <v>9532.9300046600001</v>
      </c>
      <c r="I70">
        <v>33.691000000000003</v>
      </c>
      <c r="J70">
        <v>33.547328720000003</v>
      </c>
      <c r="K70">
        <v>0</v>
      </c>
      <c r="L70">
        <v>0</v>
      </c>
      <c r="M70">
        <v>-13385.730569789999</v>
      </c>
      <c r="N70">
        <v>-1812.8184520899999</v>
      </c>
      <c r="O70">
        <v>-15150.07362646</v>
      </c>
      <c r="P70">
        <v>-15198.549021880001</v>
      </c>
    </row>
    <row r="71" spans="1:16" x14ac:dyDescent="0.25">
      <c r="A71" s="1">
        <v>45949.062881944446</v>
      </c>
      <c r="B71">
        <v>18</v>
      </c>
      <c r="C71" t="s">
        <v>17</v>
      </c>
      <c r="D71">
        <v>20804.877100000002</v>
      </c>
      <c r="E71">
        <v>0.5</v>
      </c>
      <c r="F71">
        <v>0</v>
      </c>
      <c r="G71">
        <v>5000</v>
      </c>
      <c r="H71">
        <v>9532.9300046600001</v>
      </c>
      <c r="I71">
        <v>16.811</v>
      </c>
      <c r="J71">
        <v>17.094657439999999</v>
      </c>
      <c r="K71">
        <v>0</v>
      </c>
      <c r="L71">
        <v>0</v>
      </c>
      <c r="M71">
        <v>-6776.3928045700004</v>
      </c>
      <c r="N71">
        <v>-6768.5901649300004</v>
      </c>
      <c r="O71">
        <v>-13550.540059479999</v>
      </c>
      <c r="P71">
        <v>-13544.982969500001</v>
      </c>
    </row>
    <row r="72" spans="1:16" x14ac:dyDescent="0.25">
      <c r="A72" s="1">
        <v>45949.062881944446</v>
      </c>
      <c r="B72">
        <v>18</v>
      </c>
      <c r="C72" t="s">
        <v>18</v>
      </c>
      <c r="D72">
        <v>33554.877099999998</v>
      </c>
      <c r="E72">
        <v>0</v>
      </c>
      <c r="F72">
        <v>0</v>
      </c>
      <c r="G72">
        <v>5000</v>
      </c>
      <c r="H72">
        <v>9532.9300046600001</v>
      </c>
      <c r="I72">
        <v>33.587000000000003</v>
      </c>
      <c r="J72">
        <v>33.547328720000003</v>
      </c>
      <c r="K72">
        <v>0</v>
      </c>
      <c r="L72">
        <v>0</v>
      </c>
      <c r="M72">
        <v>-13385.730569789999</v>
      </c>
      <c r="N72">
        <v>-1812.8184520899999</v>
      </c>
      <c r="O72">
        <v>-15244.29789804</v>
      </c>
      <c r="P72">
        <v>-15198.549021880001</v>
      </c>
    </row>
    <row r="73" spans="1:16" x14ac:dyDescent="0.25">
      <c r="A73" s="1">
        <v>45949.062881944446</v>
      </c>
      <c r="B73">
        <v>18</v>
      </c>
      <c r="C73" t="s">
        <v>19</v>
      </c>
      <c r="D73">
        <v>12732.382600000001</v>
      </c>
      <c r="E73">
        <v>0.75</v>
      </c>
      <c r="F73">
        <v>328.74029999999999</v>
      </c>
      <c r="G73">
        <v>5000</v>
      </c>
      <c r="H73">
        <v>9532.9300046600001</v>
      </c>
      <c r="I73">
        <v>0</v>
      </c>
      <c r="J73">
        <v>0</v>
      </c>
      <c r="K73">
        <v>7.782</v>
      </c>
      <c r="L73">
        <v>7.8306128599999996</v>
      </c>
      <c r="M73">
        <v>-3388.4370815299999</v>
      </c>
      <c r="N73">
        <v>-10156.54588797</v>
      </c>
      <c r="O73">
        <v>-13532.35608121</v>
      </c>
      <c r="P73">
        <v>-13544.98296949</v>
      </c>
    </row>
    <row r="74" spans="1:16" x14ac:dyDescent="0.25">
      <c r="A74" s="1">
        <v>45949.062962962962</v>
      </c>
      <c r="B74">
        <v>19</v>
      </c>
      <c r="C74" t="s">
        <v>16</v>
      </c>
      <c r="D74">
        <v>41673.885999999999</v>
      </c>
      <c r="E74">
        <v>0</v>
      </c>
      <c r="F74">
        <v>0</v>
      </c>
      <c r="G74">
        <v>5000</v>
      </c>
      <c r="H74">
        <v>2043.1365296700001</v>
      </c>
      <c r="I74">
        <v>27.152999999999999</v>
      </c>
      <c r="J74">
        <v>27.235570809999999</v>
      </c>
      <c r="K74">
        <v>0</v>
      </c>
      <c r="L74">
        <v>0</v>
      </c>
      <c r="M74">
        <v>-8526.3674593199994</v>
      </c>
      <c r="N74">
        <v>-1010.4438132400001</v>
      </c>
      <c r="O74">
        <v>-9511.3655801099994</v>
      </c>
      <c r="P74">
        <v>-9536.8112725600004</v>
      </c>
    </row>
    <row r="75" spans="1:16" x14ac:dyDescent="0.25">
      <c r="A75" s="1">
        <v>45949.062962962962</v>
      </c>
      <c r="B75">
        <v>19</v>
      </c>
      <c r="C75" t="s">
        <v>17</v>
      </c>
      <c r="D75">
        <v>37347.784699999997</v>
      </c>
      <c r="E75">
        <v>0.16969999999999999</v>
      </c>
      <c r="F75">
        <v>0</v>
      </c>
      <c r="G75">
        <v>5000</v>
      </c>
      <c r="H75">
        <v>2043.1365296700001</v>
      </c>
      <c r="I75">
        <v>22.581</v>
      </c>
      <c r="J75">
        <v>22.584503569999999</v>
      </c>
      <c r="K75">
        <v>0</v>
      </c>
      <c r="L75">
        <v>0</v>
      </c>
      <c r="M75">
        <v>-7499.41945287</v>
      </c>
      <c r="N75">
        <v>-1532.23061048</v>
      </c>
      <c r="O75">
        <v>-9021.0611299800003</v>
      </c>
      <c r="P75">
        <v>-9031.65006335</v>
      </c>
    </row>
    <row r="76" spans="1:16" x14ac:dyDescent="0.25">
      <c r="A76" s="1">
        <v>45949.062962962962</v>
      </c>
      <c r="B76">
        <v>19</v>
      </c>
      <c r="C76" t="s">
        <v>18</v>
      </c>
      <c r="D76">
        <v>41673.885999999999</v>
      </c>
      <c r="E76">
        <v>0</v>
      </c>
      <c r="F76">
        <v>0</v>
      </c>
      <c r="G76">
        <v>5000</v>
      </c>
      <c r="H76">
        <v>2043.1365296700001</v>
      </c>
      <c r="I76">
        <v>27.175000000000001</v>
      </c>
      <c r="J76">
        <v>27.235570809999999</v>
      </c>
      <c r="K76">
        <v>0</v>
      </c>
      <c r="L76">
        <v>0</v>
      </c>
      <c r="M76">
        <v>-8526.3674593199994</v>
      </c>
      <c r="N76">
        <v>-1010.4438132400001</v>
      </c>
      <c r="O76">
        <v>-9561.0430374000007</v>
      </c>
      <c r="P76">
        <v>-9536.8112725600004</v>
      </c>
    </row>
    <row r="77" spans="1:16" x14ac:dyDescent="0.25">
      <c r="A77" s="1">
        <v>45949.062962962962</v>
      </c>
      <c r="B77">
        <v>19</v>
      </c>
      <c r="C77" t="s">
        <v>19</v>
      </c>
      <c r="D77">
        <v>33415.691899999998</v>
      </c>
      <c r="E77">
        <v>0.25</v>
      </c>
      <c r="F77">
        <v>416.91460000000001</v>
      </c>
      <c r="G77">
        <v>5000</v>
      </c>
      <c r="H77">
        <v>2043.1365296700001</v>
      </c>
      <c r="I77">
        <v>18.204000000000001</v>
      </c>
      <c r="J77">
        <v>18.246278740000001</v>
      </c>
      <c r="K77">
        <v>11.032999999999999</v>
      </c>
      <c r="L77">
        <v>10.98328356</v>
      </c>
      <c r="M77">
        <v>-6696.5884619999997</v>
      </c>
      <c r="N77">
        <v>-2335.0616013499998</v>
      </c>
      <c r="O77">
        <v>-9042.3891294099994</v>
      </c>
      <c r="P77">
        <v>-9031.6500633399992</v>
      </c>
    </row>
    <row r="78" spans="1:16" x14ac:dyDescent="0.25">
      <c r="A78" s="1">
        <v>45949.063148148147</v>
      </c>
      <c r="B78">
        <v>20</v>
      </c>
      <c r="C78" t="s">
        <v>16</v>
      </c>
      <c r="D78">
        <v>52794.373800000001</v>
      </c>
      <c r="E78">
        <v>0</v>
      </c>
      <c r="F78">
        <v>0</v>
      </c>
      <c r="G78">
        <v>5000</v>
      </c>
      <c r="H78">
        <v>-2103.88777626</v>
      </c>
      <c r="I78">
        <v>31.472999999999999</v>
      </c>
      <c r="J78">
        <v>31.263855320000001</v>
      </c>
      <c r="K78">
        <v>100</v>
      </c>
      <c r="L78">
        <v>100</v>
      </c>
      <c r="M78">
        <v>-7825.07149089</v>
      </c>
      <c r="N78">
        <v>-2624.5501157799999</v>
      </c>
      <c r="O78">
        <v>-10425.72095176</v>
      </c>
      <c r="P78">
        <v>-10449.621606680001</v>
      </c>
    </row>
    <row r="79" spans="1:16" x14ac:dyDescent="0.25">
      <c r="A79" s="1">
        <v>45949.063148148147</v>
      </c>
      <c r="B79">
        <v>20</v>
      </c>
      <c r="C79" t="s">
        <v>17</v>
      </c>
      <c r="D79">
        <v>51452.535100000001</v>
      </c>
      <c r="E79">
        <v>5.2600000000000001E-2</v>
      </c>
      <c r="F79">
        <v>0</v>
      </c>
      <c r="G79">
        <v>5000</v>
      </c>
      <c r="H79">
        <v>-2103.88777626</v>
      </c>
      <c r="I79">
        <v>30.948</v>
      </c>
      <c r="J79">
        <v>30.910080310000001</v>
      </c>
      <c r="K79">
        <v>100</v>
      </c>
      <c r="L79">
        <v>100</v>
      </c>
      <c r="M79">
        <v>-7744.9615321900001</v>
      </c>
      <c r="N79">
        <v>-2624.1267493599998</v>
      </c>
      <c r="O79">
        <v>-10371.601036509999</v>
      </c>
      <c r="P79">
        <v>-10369.088281550001</v>
      </c>
    </row>
    <row r="80" spans="1:16" x14ac:dyDescent="0.25">
      <c r="A80" s="1">
        <v>45949.063148148147</v>
      </c>
      <c r="B80">
        <v>20</v>
      </c>
      <c r="C80" t="s">
        <v>18</v>
      </c>
      <c r="D80">
        <v>40386.100400000003</v>
      </c>
      <c r="E80">
        <v>0</v>
      </c>
      <c r="F80">
        <v>3149.5904999999998</v>
      </c>
      <c r="G80">
        <v>5000</v>
      </c>
      <c r="H80">
        <v>-2103.88777626</v>
      </c>
      <c r="I80">
        <v>16.548999999999999</v>
      </c>
      <c r="J80">
        <v>16.692232570000002</v>
      </c>
      <c r="K80">
        <v>91.283000000000001</v>
      </c>
      <c r="L80">
        <v>91.306421670000006</v>
      </c>
      <c r="M80">
        <v>-6170.1445767499999</v>
      </c>
      <c r="N80">
        <v>-859.63754738</v>
      </c>
      <c r="O80">
        <v>-7055.3866278699998</v>
      </c>
      <c r="P80">
        <v>-7029.7821241199999</v>
      </c>
    </row>
    <row r="81" spans="1:16" x14ac:dyDescent="0.25">
      <c r="A81" s="1">
        <v>45949.063148148147</v>
      </c>
      <c r="B81">
        <v>20</v>
      </c>
      <c r="C81" t="s">
        <v>19</v>
      </c>
      <c r="D81">
        <v>39629.352800000001</v>
      </c>
      <c r="E81">
        <v>1.6199999999999999E-2</v>
      </c>
      <c r="F81">
        <v>3236.5095000000001</v>
      </c>
      <c r="G81">
        <v>5000</v>
      </c>
      <c r="H81">
        <v>-2103.88777626</v>
      </c>
      <c r="I81">
        <v>15.835000000000001</v>
      </c>
      <c r="J81">
        <v>15.78861998</v>
      </c>
      <c r="K81">
        <v>90.713999999999999</v>
      </c>
      <c r="L81">
        <v>90.662711259999995</v>
      </c>
      <c r="M81">
        <v>-6099.4858386300002</v>
      </c>
      <c r="N81">
        <v>-914.59024508000005</v>
      </c>
      <c r="O81">
        <v>-7041.9969274799996</v>
      </c>
      <c r="P81">
        <v>-7014.0760836999998</v>
      </c>
    </row>
    <row r="82" spans="1:16" x14ac:dyDescent="0.25">
      <c r="A82" s="1">
        <v>45949.063310185185</v>
      </c>
      <c r="B82">
        <v>21</v>
      </c>
      <c r="C82" t="s">
        <v>16</v>
      </c>
      <c r="D82">
        <v>75714.350699999995</v>
      </c>
      <c r="E82">
        <v>0</v>
      </c>
      <c r="F82">
        <v>0</v>
      </c>
      <c r="G82">
        <v>5000</v>
      </c>
      <c r="H82">
        <v>-5381.63544938</v>
      </c>
      <c r="I82">
        <v>44.889000000000003</v>
      </c>
      <c r="J82">
        <v>44.995300030000003</v>
      </c>
      <c r="K82">
        <v>100</v>
      </c>
      <c r="L82">
        <v>100</v>
      </c>
      <c r="M82">
        <v>-8845.8957944800004</v>
      </c>
      <c r="N82">
        <v>-11255.38097613</v>
      </c>
      <c r="O82">
        <v>-20168.549179879999</v>
      </c>
      <c r="P82">
        <v>-20101.276770609998</v>
      </c>
    </row>
    <row r="83" spans="1:16" x14ac:dyDescent="0.25">
      <c r="A83" s="1">
        <v>45949.063310185185</v>
      </c>
      <c r="B83">
        <v>21</v>
      </c>
      <c r="C83" t="s">
        <v>17</v>
      </c>
      <c r="D83">
        <v>68161.243700000006</v>
      </c>
      <c r="E83">
        <v>0.29620000000000002</v>
      </c>
      <c r="F83">
        <v>0</v>
      </c>
      <c r="G83">
        <v>5000</v>
      </c>
      <c r="H83">
        <v>-5381.63544938</v>
      </c>
      <c r="I83">
        <v>44.494999999999997</v>
      </c>
      <c r="J83">
        <v>44.686353609999998</v>
      </c>
      <c r="K83">
        <v>100</v>
      </c>
      <c r="L83">
        <v>100</v>
      </c>
      <c r="M83">
        <v>-8806.5983641099992</v>
      </c>
      <c r="N83">
        <v>-11166.127524400001</v>
      </c>
      <c r="O83">
        <v>-19928.700601879998</v>
      </c>
      <c r="P83">
        <v>-19972.725888509998</v>
      </c>
    </row>
    <row r="84" spans="1:16" x14ac:dyDescent="0.25">
      <c r="A84" s="1">
        <v>45949.063310185185</v>
      </c>
      <c r="B84">
        <v>21</v>
      </c>
      <c r="C84" t="s">
        <v>18</v>
      </c>
      <c r="D84">
        <v>25906.510600000001</v>
      </c>
      <c r="E84">
        <v>0</v>
      </c>
      <c r="F84">
        <v>15338.8058</v>
      </c>
      <c r="G84">
        <v>5000</v>
      </c>
      <c r="H84">
        <v>-5381.63544938</v>
      </c>
      <c r="I84">
        <v>21.234999999999999</v>
      </c>
      <c r="J84">
        <v>21.262933820000001</v>
      </c>
      <c r="K84">
        <v>96.468000000000004</v>
      </c>
      <c r="L84">
        <v>96.555806390000001</v>
      </c>
      <c r="M84">
        <v>-6698.8088660599997</v>
      </c>
      <c r="N84">
        <v>-2938.1588313699999</v>
      </c>
      <c r="O84">
        <v>-9667.0672166900004</v>
      </c>
      <c r="P84">
        <v>-9636.96769743</v>
      </c>
    </row>
    <row r="85" spans="1:16" x14ac:dyDescent="0.25">
      <c r="A85" s="1">
        <v>45949.063310185185</v>
      </c>
      <c r="B85">
        <v>21</v>
      </c>
      <c r="C85" t="s">
        <v>19</v>
      </c>
      <c r="D85">
        <v>25096.169900000001</v>
      </c>
      <c r="E85">
        <v>2.3699999999999999E-2</v>
      </c>
      <c r="F85">
        <v>15402.3719</v>
      </c>
      <c r="G85">
        <v>5000</v>
      </c>
      <c r="H85">
        <v>-5381.63544938</v>
      </c>
      <c r="I85">
        <v>20.920999999999999</v>
      </c>
      <c r="J85">
        <v>21.114271389999999</v>
      </c>
      <c r="K85">
        <v>96.54</v>
      </c>
      <c r="L85">
        <v>96.466974320000006</v>
      </c>
      <c r="M85">
        <v>-6687.4267638199999</v>
      </c>
      <c r="N85">
        <v>-2934.9436101699998</v>
      </c>
      <c r="O85">
        <v>-9626.4487462500001</v>
      </c>
      <c r="P85">
        <v>-9622.3703739899993</v>
      </c>
    </row>
    <row r="86" spans="1:16" x14ac:dyDescent="0.25">
      <c r="A86" s="1">
        <v>45949.063379629632</v>
      </c>
      <c r="B86">
        <v>22</v>
      </c>
      <c r="C86" t="s">
        <v>16</v>
      </c>
      <c r="D86">
        <v>37261.088199999998</v>
      </c>
      <c r="E86">
        <v>0</v>
      </c>
      <c r="F86">
        <v>0</v>
      </c>
      <c r="G86">
        <v>5000</v>
      </c>
      <c r="H86">
        <v>-10298.30998715</v>
      </c>
      <c r="I86">
        <v>29.916</v>
      </c>
      <c r="J86">
        <v>30.001638710000002</v>
      </c>
      <c r="K86">
        <v>100</v>
      </c>
      <c r="L86">
        <v>100</v>
      </c>
      <c r="M86">
        <v>-10440.156118250001</v>
      </c>
      <c r="N86">
        <v>-4632.9160932200002</v>
      </c>
      <c r="O86">
        <v>-15098.26860204</v>
      </c>
      <c r="P86">
        <v>-15073.072211479999</v>
      </c>
    </row>
    <row r="87" spans="1:16" x14ac:dyDescent="0.25">
      <c r="A87" s="1">
        <v>45949.063379629632</v>
      </c>
      <c r="B87">
        <v>22</v>
      </c>
      <c r="C87" t="s">
        <v>17</v>
      </c>
      <c r="D87">
        <v>29894.3475</v>
      </c>
      <c r="E87">
        <v>0.28889999999999999</v>
      </c>
      <c r="F87">
        <v>0</v>
      </c>
      <c r="G87">
        <v>5000</v>
      </c>
      <c r="H87">
        <v>-10298.30998715</v>
      </c>
      <c r="I87">
        <v>21.818999999999999</v>
      </c>
      <c r="J87">
        <v>21.877189619999999</v>
      </c>
      <c r="K87">
        <v>100</v>
      </c>
      <c r="L87">
        <v>100</v>
      </c>
      <c r="M87">
        <v>-7619.3486713900002</v>
      </c>
      <c r="N87">
        <v>-6358.0876989400003</v>
      </c>
      <c r="O87">
        <v>-13961.349466219999</v>
      </c>
      <c r="P87">
        <v>-13977.43637033</v>
      </c>
    </row>
    <row r="88" spans="1:16" x14ac:dyDescent="0.25">
      <c r="A88" s="1">
        <v>45949.063379629632</v>
      </c>
      <c r="B88">
        <v>22</v>
      </c>
      <c r="C88" t="s">
        <v>18</v>
      </c>
      <c r="D88">
        <v>30008.175999999999</v>
      </c>
      <c r="E88">
        <v>0</v>
      </c>
      <c r="F88">
        <v>1500.4141</v>
      </c>
      <c r="G88">
        <v>5000</v>
      </c>
      <c r="H88">
        <v>-10298.30998715</v>
      </c>
      <c r="I88">
        <v>27.524999999999999</v>
      </c>
      <c r="J88">
        <v>27.439163189999999</v>
      </c>
      <c r="K88">
        <v>100</v>
      </c>
      <c r="L88">
        <v>100</v>
      </c>
      <c r="M88">
        <v>-10873.30779916</v>
      </c>
      <c r="N88">
        <v>-453.78593124999998</v>
      </c>
      <c r="O88">
        <v>-11300.833372790001</v>
      </c>
      <c r="P88">
        <v>-11327.093730410001</v>
      </c>
    </row>
    <row r="89" spans="1:16" x14ac:dyDescent="0.25">
      <c r="A89" s="1">
        <v>45949.063379629632</v>
      </c>
      <c r="B89">
        <v>22</v>
      </c>
      <c r="C89" t="s">
        <v>19</v>
      </c>
      <c r="D89">
        <v>16957.495200000001</v>
      </c>
      <c r="E89">
        <v>0.5</v>
      </c>
      <c r="F89">
        <v>1562.6161</v>
      </c>
      <c r="G89">
        <v>5000</v>
      </c>
      <c r="H89">
        <v>-10298.30998715</v>
      </c>
      <c r="I89">
        <v>6.3369999999999997</v>
      </c>
      <c r="J89">
        <v>6.4241766699999996</v>
      </c>
      <c r="K89">
        <v>100</v>
      </c>
      <c r="L89">
        <v>100</v>
      </c>
      <c r="M89">
        <v>-5352.9984483799999</v>
      </c>
      <c r="N89">
        <v>-5883.8095566299999</v>
      </c>
      <c r="O89">
        <v>-11214.039997379999</v>
      </c>
      <c r="P89">
        <v>-11236.80800501</v>
      </c>
    </row>
    <row r="90" spans="1:16" x14ac:dyDescent="0.25">
      <c r="A90" s="1">
        <v>45949.063449074078</v>
      </c>
      <c r="B90">
        <v>23</v>
      </c>
      <c r="C90" t="s">
        <v>16</v>
      </c>
      <c r="D90">
        <v>37261.088199999998</v>
      </c>
      <c r="E90">
        <v>0</v>
      </c>
      <c r="F90">
        <v>0</v>
      </c>
      <c r="G90">
        <v>5000</v>
      </c>
      <c r="H90">
        <v>-4332.11024421</v>
      </c>
      <c r="I90">
        <v>29.866</v>
      </c>
      <c r="J90">
        <v>30.001638710000002</v>
      </c>
      <c r="K90">
        <v>100</v>
      </c>
      <c r="L90">
        <v>100</v>
      </c>
      <c r="M90">
        <v>-10440.156118250001</v>
      </c>
      <c r="N90">
        <v>-1948.89290506</v>
      </c>
      <c r="O90">
        <v>-12431.702728030001</v>
      </c>
      <c r="P90">
        <v>-12389.049023310001</v>
      </c>
    </row>
    <row r="91" spans="1:16" x14ac:dyDescent="0.25">
      <c r="A91" s="1">
        <v>45949.063449074078</v>
      </c>
      <c r="B91">
        <v>23</v>
      </c>
      <c r="C91" t="s">
        <v>17</v>
      </c>
      <c r="D91">
        <v>33188.9349</v>
      </c>
      <c r="E91">
        <v>0.15970000000000001</v>
      </c>
      <c r="F91">
        <v>0</v>
      </c>
      <c r="G91">
        <v>5000</v>
      </c>
      <c r="H91">
        <v>-4332.11024421</v>
      </c>
      <c r="I91">
        <v>26.242999999999999</v>
      </c>
      <c r="J91">
        <v>26.201145140000001</v>
      </c>
      <c r="K91">
        <v>100</v>
      </c>
      <c r="L91">
        <v>100</v>
      </c>
      <c r="M91">
        <v>-8876.5068589500006</v>
      </c>
      <c r="N91">
        <v>-3039.3034375699999</v>
      </c>
      <c r="O91">
        <v>-11941.134638080001</v>
      </c>
      <c r="P91">
        <v>-11915.810296510001</v>
      </c>
    </row>
    <row r="92" spans="1:16" x14ac:dyDescent="0.25">
      <c r="A92" s="1">
        <v>45949.063449074078</v>
      </c>
      <c r="B92">
        <v>23</v>
      </c>
      <c r="C92" t="s">
        <v>18</v>
      </c>
      <c r="D92">
        <v>33887.534099999997</v>
      </c>
      <c r="E92">
        <v>0</v>
      </c>
      <c r="F92">
        <v>697.88909999999998</v>
      </c>
      <c r="G92">
        <v>5000</v>
      </c>
      <c r="H92">
        <v>-4332.11024421</v>
      </c>
      <c r="I92">
        <v>28.774000000000001</v>
      </c>
      <c r="J92">
        <v>28.809751970000001</v>
      </c>
      <c r="K92">
        <v>100</v>
      </c>
      <c r="L92">
        <v>100</v>
      </c>
      <c r="M92">
        <v>-10291.244440840001</v>
      </c>
      <c r="N92">
        <v>-148.13909269999999</v>
      </c>
      <c r="O92">
        <v>-10426.01867557</v>
      </c>
      <c r="P92">
        <v>-10439.38353354</v>
      </c>
    </row>
    <row r="93" spans="1:16" x14ac:dyDescent="0.25">
      <c r="A93" s="1">
        <v>45949.063449074078</v>
      </c>
      <c r="B93">
        <v>23</v>
      </c>
      <c r="C93" t="s">
        <v>19</v>
      </c>
      <c r="D93">
        <v>26017.278600000001</v>
      </c>
      <c r="E93">
        <v>0.25</v>
      </c>
      <c r="F93">
        <v>1007.2134</v>
      </c>
      <c r="G93">
        <v>5000</v>
      </c>
      <c r="H93">
        <v>-4332.11024421</v>
      </c>
      <c r="I93">
        <v>21.065000000000001</v>
      </c>
      <c r="J93">
        <v>21.041965000000001</v>
      </c>
      <c r="K93">
        <v>98.757000000000005</v>
      </c>
      <c r="L93">
        <v>98.768358030000002</v>
      </c>
      <c r="M93">
        <v>-7704.8754845599997</v>
      </c>
      <c r="N93">
        <v>-2652.7968684699999</v>
      </c>
      <c r="O93">
        <v>-10370.45703338</v>
      </c>
      <c r="P93">
        <v>-10357.672353030001</v>
      </c>
    </row>
    <row r="94" spans="1:16" x14ac:dyDescent="0.25">
      <c r="A94" s="1">
        <v>45949.063530092593</v>
      </c>
      <c r="B94">
        <v>24</v>
      </c>
      <c r="C94" t="s">
        <v>16</v>
      </c>
      <c r="D94">
        <v>37261.088199999998</v>
      </c>
      <c r="E94">
        <v>0</v>
      </c>
      <c r="F94">
        <v>0</v>
      </c>
      <c r="G94">
        <v>5000</v>
      </c>
      <c r="H94">
        <v>13566.48898461</v>
      </c>
      <c r="I94">
        <v>30.094000000000001</v>
      </c>
      <c r="J94">
        <v>30.001638710000002</v>
      </c>
      <c r="K94">
        <v>0</v>
      </c>
      <c r="L94">
        <v>0</v>
      </c>
      <c r="M94">
        <v>-10440.156118250001</v>
      </c>
      <c r="N94">
        <v>-4816.2795629399998</v>
      </c>
      <c r="O94">
        <v>-15251.236861400001</v>
      </c>
      <c r="P94">
        <v>-15256.435681200001</v>
      </c>
    </row>
    <row r="95" spans="1:16" x14ac:dyDescent="0.25">
      <c r="A95" s="1">
        <v>45949.063530092593</v>
      </c>
      <c r="B95">
        <v>24</v>
      </c>
      <c r="C95" t="s">
        <v>17</v>
      </c>
      <c r="D95">
        <v>22581.545600000001</v>
      </c>
      <c r="E95">
        <v>0.57569999999999999</v>
      </c>
      <c r="F95">
        <v>0</v>
      </c>
      <c r="G95">
        <v>5000</v>
      </c>
      <c r="H95">
        <v>13566.48898461</v>
      </c>
      <c r="I95">
        <v>7.5039999999999996</v>
      </c>
      <c r="J95">
        <v>7.4394829299999996</v>
      </c>
      <c r="K95">
        <v>0</v>
      </c>
      <c r="L95">
        <v>0</v>
      </c>
      <c r="M95">
        <v>-5381.3622195400003</v>
      </c>
      <c r="N95">
        <v>-7300.6141127700002</v>
      </c>
      <c r="O95">
        <v>-12693.92496968</v>
      </c>
      <c r="P95">
        <v>-12681.97633231</v>
      </c>
    </row>
    <row r="96" spans="1:16" x14ac:dyDescent="0.25">
      <c r="A96" s="1">
        <v>45949.063530092593</v>
      </c>
      <c r="B96">
        <v>24</v>
      </c>
      <c r="C96" t="s">
        <v>18</v>
      </c>
      <c r="D96">
        <v>37261.088199999998</v>
      </c>
      <c r="E96">
        <v>0</v>
      </c>
      <c r="F96">
        <v>0</v>
      </c>
      <c r="G96">
        <v>5000</v>
      </c>
      <c r="H96">
        <v>13566.48898461</v>
      </c>
      <c r="I96">
        <v>29.83</v>
      </c>
      <c r="J96">
        <v>30.001638710000002</v>
      </c>
      <c r="K96">
        <v>0</v>
      </c>
      <c r="L96">
        <v>0</v>
      </c>
      <c r="M96">
        <v>-10440.156118250001</v>
      </c>
      <c r="N96">
        <v>-4816.2795629399998</v>
      </c>
      <c r="O96">
        <v>-15299.84551304</v>
      </c>
      <c r="P96">
        <v>-15256.435681200001</v>
      </c>
    </row>
    <row r="97" spans="1:16" x14ac:dyDescent="0.25">
      <c r="A97" s="1">
        <v>45949.063530092593</v>
      </c>
      <c r="B97">
        <v>24</v>
      </c>
      <c r="C97" t="s">
        <v>19</v>
      </c>
      <c r="D97">
        <v>13690.921899999999</v>
      </c>
      <c r="E97">
        <v>0.75</v>
      </c>
      <c r="F97">
        <v>919.57410000000004</v>
      </c>
      <c r="G97">
        <v>5000</v>
      </c>
      <c r="H97">
        <v>13566.48898461</v>
      </c>
      <c r="I97">
        <v>0</v>
      </c>
      <c r="J97">
        <v>0</v>
      </c>
      <c r="K97">
        <v>0</v>
      </c>
      <c r="L97">
        <v>0</v>
      </c>
      <c r="M97">
        <v>-2905.7305729700001</v>
      </c>
      <c r="N97">
        <v>-9776.2457593399995</v>
      </c>
      <c r="O97">
        <v>-12718.49674198</v>
      </c>
      <c r="P97">
        <v>-12681.97633231</v>
      </c>
    </row>
    <row r="98" spans="1:16" x14ac:dyDescent="0.25">
      <c r="A98" s="1">
        <v>45949.063645833332</v>
      </c>
      <c r="B98">
        <v>25</v>
      </c>
      <c r="C98" t="s">
        <v>16</v>
      </c>
      <c r="D98">
        <v>37261.088199999998</v>
      </c>
      <c r="E98">
        <v>0</v>
      </c>
      <c r="F98">
        <v>0</v>
      </c>
      <c r="G98">
        <v>5000</v>
      </c>
      <c r="H98">
        <v>25498.888470490001</v>
      </c>
      <c r="I98">
        <v>30.03</v>
      </c>
      <c r="J98">
        <v>30.001638710000002</v>
      </c>
      <c r="K98">
        <v>0</v>
      </c>
      <c r="L98">
        <v>0</v>
      </c>
      <c r="M98">
        <v>-10440.156118250001</v>
      </c>
      <c r="N98">
        <v>-9052.4361577599993</v>
      </c>
      <c r="O98">
        <v>-19493.934999699999</v>
      </c>
      <c r="P98">
        <v>-19492.59227601</v>
      </c>
    </row>
    <row r="99" spans="1:16" x14ac:dyDescent="0.25">
      <c r="A99" s="1">
        <v>45949.063645833332</v>
      </c>
      <c r="B99">
        <v>25</v>
      </c>
      <c r="C99" t="s">
        <v>17</v>
      </c>
      <c r="D99">
        <v>18944.393</v>
      </c>
      <c r="E99">
        <v>0.71830000000000005</v>
      </c>
      <c r="F99">
        <v>0</v>
      </c>
      <c r="G99">
        <v>5000</v>
      </c>
      <c r="H99">
        <v>25498.888470490001</v>
      </c>
      <c r="I99">
        <v>2.1539999999999999</v>
      </c>
      <c r="J99">
        <v>2.1338864100000001</v>
      </c>
      <c r="K99">
        <v>0</v>
      </c>
      <c r="L99">
        <v>0</v>
      </c>
      <c r="M99">
        <v>-4502.6878580100001</v>
      </c>
      <c r="N99">
        <v>-11481.368167140001</v>
      </c>
      <c r="O99">
        <v>-16009.56698222</v>
      </c>
      <c r="P99">
        <v>-15984.056025149999</v>
      </c>
    </row>
    <row r="100" spans="1:16" x14ac:dyDescent="0.25">
      <c r="A100" s="1">
        <v>45949.063645833332</v>
      </c>
      <c r="B100">
        <v>25</v>
      </c>
      <c r="C100" t="s">
        <v>18</v>
      </c>
      <c r="D100">
        <v>37261.088199999998</v>
      </c>
      <c r="E100">
        <v>0</v>
      </c>
      <c r="F100">
        <v>0</v>
      </c>
      <c r="G100">
        <v>5000</v>
      </c>
      <c r="H100">
        <v>25498.888470490001</v>
      </c>
      <c r="I100">
        <v>30.026</v>
      </c>
      <c r="J100">
        <v>30.001638710000002</v>
      </c>
      <c r="K100">
        <v>0</v>
      </c>
      <c r="L100">
        <v>0</v>
      </c>
      <c r="M100">
        <v>-10440.156118250001</v>
      </c>
      <c r="N100">
        <v>-9052.4361577599993</v>
      </c>
      <c r="O100">
        <v>-19512.908736310001</v>
      </c>
      <c r="P100">
        <v>-19492.59227601</v>
      </c>
    </row>
    <row r="101" spans="1:16" x14ac:dyDescent="0.25">
      <c r="A101" s="1">
        <v>45949.063645833332</v>
      </c>
      <c r="B101">
        <v>25</v>
      </c>
      <c r="C101" t="s">
        <v>19</v>
      </c>
      <c r="D101">
        <v>16783.082399999999</v>
      </c>
      <c r="E101">
        <v>0.75</v>
      </c>
      <c r="F101">
        <v>279.89710000000002</v>
      </c>
      <c r="G101">
        <v>5000</v>
      </c>
      <c r="H101">
        <v>25498.888470490001</v>
      </c>
      <c r="I101">
        <v>4.2999999999999997E-2</v>
      </c>
      <c r="J101">
        <v>3.587804E-2</v>
      </c>
      <c r="K101">
        <v>0</v>
      </c>
      <c r="L101">
        <v>0</v>
      </c>
      <c r="M101">
        <v>-3881.16589415</v>
      </c>
      <c r="N101">
        <v>-12102.890131</v>
      </c>
      <c r="O101">
        <v>-16073.75530631</v>
      </c>
      <c r="P101">
        <v>-15984.05602514</v>
      </c>
    </row>
    <row r="102" spans="1:16" x14ac:dyDescent="0.25">
      <c r="A102" s="1">
        <v>45949.063715277778</v>
      </c>
      <c r="B102">
        <v>26</v>
      </c>
      <c r="C102" t="s">
        <v>16</v>
      </c>
      <c r="D102">
        <v>37261.088199999998</v>
      </c>
      <c r="E102">
        <v>0</v>
      </c>
      <c r="F102">
        <v>0</v>
      </c>
      <c r="G102">
        <v>5000</v>
      </c>
      <c r="H102">
        <v>37431.287956369997</v>
      </c>
      <c r="I102">
        <v>30.084</v>
      </c>
      <c r="J102">
        <v>30.001638710000002</v>
      </c>
      <c r="K102">
        <v>0</v>
      </c>
      <c r="L102">
        <v>0</v>
      </c>
      <c r="M102">
        <v>-10440.156118250001</v>
      </c>
      <c r="N102">
        <v>-13288.59275258</v>
      </c>
      <c r="O102">
        <v>-23742.393</v>
      </c>
      <c r="P102">
        <v>-23728.748870830001</v>
      </c>
    </row>
    <row r="103" spans="1:16" x14ac:dyDescent="0.25">
      <c r="A103" s="1">
        <v>45949.063715277778</v>
      </c>
      <c r="B103">
        <v>26</v>
      </c>
      <c r="C103" t="s">
        <v>17</v>
      </c>
      <c r="D103">
        <v>17137.270700000001</v>
      </c>
      <c r="E103">
        <v>0.78920000000000001</v>
      </c>
      <c r="F103">
        <v>0</v>
      </c>
      <c r="G103">
        <v>5000</v>
      </c>
      <c r="H103">
        <v>37431.287956369997</v>
      </c>
      <c r="I103">
        <v>0.502</v>
      </c>
      <c r="J103">
        <v>0.45122332999999998</v>
      </c>
      <c r="K103">
        <v>0</v>
      </c>
      <c r="L103">
        <v>0</v>
      </c>
      <c r="M103">
        <v>-4128.2872768999996</v>
      </c>
      <c r="N103">
        <v>-15452.72522608</v>
      </c>
      <c r="O103">
        <v>-19630.73971324</v>
      </c>
      <c r="P103">
        <v>-19581.012502990001</v>
      </c>
    </row>
    <row r="104" spans="1:16" x14ac:dyDescent="0.25">
      <c r="A104" s="1">
        <v>45949.063715277778</v>
      </c>
      <c r="B104">
        <v>26</v>
      </c>
      <c r="C104" t="s">
        <v>18</v>
      </c>
      <c r="D104">
        <v>37261.088199999998</v>
      </c>
      <c r="E104">
        <v>0</v>
      </c>
      <c r="F104">
        <v>0</v>
      </c>
      <c r="G104">
        <v>5000</v>
      </c>
      <c r="H104">
        <v>37431.287956369997</v>
      </c>
      <c r="I104">
        <v>29.885999999999999</v>
      </c>
      <c r="J104">
        <v>30.001638710000002</v>
      </c>
      <c r="K104">
        <v>0</v>
      </c>
      <c r="L104">
        <v>0</v>
      </c>
      <c r="M104">
        <v>-10440.156118250001</v>
      </c>
      <c r="N104">
        <v>-13288.59275258</v>
      </c>
      <c r="O104">
        <v>-23766.101611630002</v>
      </c>
      <c r="P104">
        <v>-23728.748870830001</v>
      </c>
    </row>
    <row r="105" spans="1:16" x14ac:dyDescent="0.25">
      <c r="A105" s="1">
        <v>45949.063715277778</v>
      </c>
      <c r="B105">
        <v>26</v>
      </c>
      <c r="C105" t="s">
        <v>19</v>
      </c>
      <c r="D105">
        <v>15141.195400000001</v>
      </c>
      <c r="E105">
        <v>0.8125</v>
      </c>
      <c r="F105">
        <v>289.85520000000002</v>
      </c>
      <c r="G105">
        <v>5000</v>
      </c>
      <c r="H105">
        <v>37431.287956369997</v>
      </c>
      <c r="I105">
        <v>0</v>
      </c>
      <c r="J105">
        <v>0</v>
      </c>
      <c r="K105">
        <v>0</v>
      </c>
      <c r="L105">
        <v>0</v>
      </c>
      <c r="M105">
        <v>-3534.8655630500002</v>
      </c>
      <c r="N105">
        <v>-16046.146939939999</v>
      </c>
      <c r="O105">
        <v>-19589.73596288</v>
      </c>
      <c r="P105">
        <v>-19581.01250298</v>
      </c>
    </row>
  </sheetData>
  <mergeCells count="2">
    <mergeCell ref="T1:W1"/>
    <mergeCell ref="X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~opt_report-final-equal-enpvs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ROSTAMI Salim</cp:lastModifiedBy>
  <dcterms:created xsi:type="dcterms:W3CDTF">2025-10-19T12:41:54Z</dcterms:created>
  <dcterms:modified xsi:type="dcterms:W3CDTF">2025-10-19T13:19:36Z</dcterms:modified>
</cp:coreProperties>
</file>