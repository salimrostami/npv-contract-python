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8_{47911DA2-E71F-4F28-8D83-2AAEEE8BD815}" xr6:coauthVersionLast="47" xr6:coauthVersionMax="47" xr10:uidLastSave="{E9B4821D-B073-40E1-9C3B-86B03E422ACD}"/>
  <bookViews>
    <workbookView xWindow="15" yWindow="15" windowWidth="38370" windowHeight="20850" xr2:uid="{29770F0E-1684-4098-AD33-DBFEF80D910E}"/>
  </bookViews>
  <sheets>
    <sheet name="~opt_report" sheetId="1" r:id="rId1"/>
  </sheets>
  <calcPr calcId="0"/>
</workbook>
</file>

<file path=xl/calcChain.xml><?xml version="1.0" encoding="utf-8"?>
<calcChain xmlns="http://schemas.openxmlformats.org/spreadsheetml/2006/main">
  <c r="P105" i="1" l="1"/>
  <c r="N105" i="1" a="1"/>
  <c r="N105" i="1" s="1"/>
  <c r="O105" i="1" s="1"/>
  <c r="P104" i="1"/>
  <c r="N104" i="1" a="1"/>
  <c r="N104" i="1" s="1"/>
  <c r="O104" i="1" s="1"/>
  <c r="P103" i="1"/>
  <c r="N103" i="1" a="1"/>
  <c r="N103" i="1" s="1"/>
  <c r="O103" i="1" s="1"/>
  <c r="P102" i="1"/>
  <c r="N102" i="1" a="1"/>
  <c r="N102" i="1" s="1"/>
  <c r="O102" i="1" s="1"/>
  <c r="P101" i="1"/>
  <c r="N101" i="1" a="1"/>
  <c r="N101" i="1" s="1"/>
  <c r="O101" i="1" s="1"/>
  <c r="P100" i="1"/>
  <c r="N100" i="1" a="1"/>
  <c r="N100" i="1" s="1"/>
  <c r="O100" i="1" s="1"/>
  <c r="P99" i="1"/>
  <c r="N99" i="1" a="1"/>
  <c r="N99" i="1" s="1"/>
  <c r="O99" i="1" s="1"/>
  <c r="P98" i="1"/>
  <c r="N98" i="1" a="1"/>
  <c r="N98" i="1" s="1"/>
  <c r="O98" i="1" s="1"/>
  <c r="P97" i="1"/>
  <c r="N97" i="1" a="1"/>
  <c r="N97" i="1" s="1"/>
  <c r="O97" i="1" s="1"/>
  <c r="P96" i="1"/>
  <c r="N96" i="1" a="1"/>
  <c r="N96" i="1" s="1"/>
  <c r="O96" i="1" s="1"/>
  <c r="P95" i="1"/>
  <c r="N95" i="1" a="1"/>
  <c r="N95" i="1" s="1"/>
  <c r="O95" i="1" s="1"/>
  <c r="P94" i="1"/>
  <c r="N94" i="1" a="1"/>
  <c r="N94" i="1" s="1"/>
  <c r="O94" i="1" s="1"/>
  <c r="P93" i="1"/>
  <c r="N93" i="1" a="1"/>
  <c r="N93" i="1" s="1"/>
  <c r="O93" i="1" s="1"/>
  <c r="P92" i="1"/>
  <c r="N92" i="1" a="1"/>
  <c r="N92" i="1" s="1"/>
  <c r="O92" i="1" s="1"/>
  <c r="P91" i="1"/>
  <c r="N91" i="1" a="1"/>
  <c r="N91" i="1" s="1"/>
  <c r="O91" i="1" s="1"/>
  <c r="P90" i="1"/>
  <c r="N90" i="1" a="1"/>
  <c r="N90" i="1" s="1"/>
  <c r="O90" i="1" s="1"/>
  <c r="P89" i="1"/>
  <c r="N89" i="1" a="1"/>
  <c r="N89" i="1" s="1"/>
  <c r="O89" i="1" s="1"/>
  <c r="P88" i="1"/>
  <c r="N88" i="1" a="1"/>
  <c r="N88" i="1" s="1"/>
  <c r="O88" i="1" s="1"/>
  <c r="P87" i="1"/>
  <c r="N87" i="1" a="1"/>
  <c r="N87" i="1" s="1"/>
  <c r="O87" i="1" s="1"/>
  <c r="P86" i="1"/>
  <c r="N86" i="1" a="1"/>
  <c r="N86" i="1" s="1"/>
  <c r="O86" i="1" s="1"/>
  <c r="P85" i="1"/>
  <c r="N85" i="1" a="1"/>
  <c r="N85" i="1" s="1"/>
  <c r="O85" i="1" s="1"/>
  <c r="P84" i="1"/>
  <c r="N84" i="1" a="1"/>
  <c r="N84" i="1" s="1"/>
  <c r="O84" i="1" s="1"/>
  <c r="P83" i="1"/>
  <c r="N83" i="1" a="1"/>
  <c r="N83" i="1" s="1"/>
  <c r="O83" i="1" s="1"/>
  <c r="P82" i="1"/>
  <c r="N82" i="1" a="1"/>
  <c r="N82" i="1" s="1"/>
  <c r="O82" i="1" s="1"/>
  <c r="P81" i="1"/>
  <c r="N81" i="1" a="1"/>
  <c r="N81" i="1" s="1"/>
  <c r="O81" i="1" s="1"/>
  <c r="P80" i="1"/>
  <c r="N80" i="1" a="1"/>
  <c r="N80" i="1" s="1"/>
  <c r="O80" i="1" s="1"/>
  <c r="P79" i="1"/>
  <c r="N79" i="1" a="1"/>
  <c r="N79" i="1" s="1"/>
  <c r="O79" i="1" s="1"/>
  <c r="P78" i="1"/>
  <c r="N78" i="1" a="1"/>
  <c r="N78" i="1" s="1"/>
  <c r="O78" i="1" s="1"/>
  <c r="P77" i="1"/>
  <c r="N77" i="1" a="1"/>
  <c r="N77" i="1" s="1"/>
  <c r="O77" i="1" s="1"/>
  <c r="P76" i="1"/>
  <c r="N76" i="1" a="1"/>
  <c r="N76" i="1" s="1"/>
  <c r="O76" i="1" s="1"/>
  <c r="P75" i="1"/>
  <c r="N75" i="1" a="1"/>
  <c r="N75" i="1" s="1"/>
  <c r="O75" i="1" s="1"/>
  <c r="P74" i="1"/>
  <c r="N74" i="1" a="1"/>
  <c r="N74" i="1" s="1"/>
  <c r="O74" i="1" s="1"/>
  <c r="P73" i="1"/>
  <c r="N73" i="1" a="1"/>
  <c r="N73" i="1" s="1"/>
  <c r="O73" i="1" s="1"/>
  <c r="P72" i="1"/>
  <c r="N72" i="1" a="1"/>
  <c r="N72" i="1" s="1"/>
  <c r="O72" i="1" s="1"/>
  <c r="P71" i="1"/>
  <c r="N71" i="1" a="1"/>
  <c r="N71" i="1" s="1"/>
  <c r="O71" i="1" s="1"/>
  <c r="P70" i="1"/>
  <c r="N70" i="1" a="1"/>
  <c r="N70" i="1" s="1"/>
  <c r="O70" i="1" s="1"/>
  <c r="P69" i="1"/>
  <c r="N69" i="1" a="1"/>
  <c r="N69" i="1" s="1"/>
  <c r="O69" i="1" s="1"/>
  <c r="P68" i="1"/>
  <c r="N68" i="1" a="1"/>
  <c r="N68" i="1" s="1"/>
  <c r="O68" i="1" s="1"/>
  <c r="P67" i="1"/>
  <c r="N67" i="1" a="1"/>
  <c r="N67" i="1" s="1"/>
  <c r="O67" i="1" s="1"/>
  <c r="P66" i="1"/>
  <c r="N66" i="1" a="1"/>
  <c r="N66" i="1" s="1"/>
  <c r="O66" i="1" s="1"/>
  <c r="P65" i="1"/>
  <c r="N65" i="1" a="1"/>
  <c r="N65" i="1" s="1"/>
  <c r="O65" i="1" s="1"/>
  <c r="P64" i="1"/>
  <c r="N64" i="1" a="1"/>
  <c r="N64" i="1" s="1"/>
  <c r="O64" i="1" s="1"/>
  <c r="P63" i="1"/>
  <c r="N63" i="1" a="1"/>
  <c r="N63" i="1" s="1"/>
  <c r="O63" i="1" s="1"/>
  <c r="P62" i="1"/>
  <c r="N62" i="1" a="1"/>
  <c r="N62" i="1" s="1"/>
  <c r="O62" i="1" s="1"/>
  <c r="P61" i="1"/>
  <c r="N61" i="1" a="1"/>
  <c r="N61" i="1" s="1"/>
  <c r="O61" i="1" s="1"/>
  <c r="P60" i="1"/>
  <c r="N60" i="1" a="1"/>
  <c r="N60" i="1" s="1"/>
  <c r="O60" i="1" s="1"/>
  <c r="P59" i="1"/>
  <c r="N59" i="1" a="1"/>
  <c r="N59" i="1" s="1"/>
  <c r="O59" i="1" s="1"/>
  <c r="P58" i="1"/>
  <c r="N58" i="1" a="1"/>
  <c r="N58" i="1" s="1"/>
  <c r="O58" i="1" s="1"/>
  <c r="P57" i="1"/>
  <c r="N57" i="1" a="1"/>
  <c r="N57" i="1" s="1"/>
  <c r="O57" i="1" s="1"/>
  <c r="P56" i="1"/>
  <c r="N56" i="1" a="1"/>
  <c r="N56" i="1" s="1"/>
  <c r="O56" i="1" s="1"/>
  <c r="P55" i="1"/>
  <c r="N55" i="1" a="1"/>
  <c r="N55" i="1" s="1"/>
  <c r="O55" i="1" s="1"/>
  <c r="P54" i="1"/>
  <c r="N54" i="1" a="1"/>
  <c r="N54" i="1" s="1"/>
  <c r="O54" i="1" s="1"/>
  <c r="P53" i="1"/>
  <c r="N53" i="1" a="1"/>
  <c r="N53" i="1" s="1"/>
  <c r="O53" i="1" s="1"/>
  <c r="P52" i="1"/>
  <c r="N52" i="1" a="1"/>
  <c r="N52" i="1" s="1"/>
  <c r="O52" i="1" s="1"/>
  <c r="P51" i="1"/>
  <c r="N51" i="1" a="1"/>
  <c r="N51" i="1" s="1"/>
  <c r="O51" i="1" s="1"/>
  <c r="P50" i="1"/>
  <c r="N50" i="1" a="1"/>
  <c r="N50" i="1" s="1"/>
  <c r="O50" i="1" s="1"/>
  <c r="P49" i="1"/>
  <c r="N49" i="1" a="1"/>
  <c r="N49" i="1" s="1"/>
  <c r="O49" i="1" s="1"/>
  <c r="P48" i="1"/>
  <c r="N48" i="1" a="1"/>
  <c r="N48" i="1" s="1"/>
  <c r="O48" i="1" s="1"/>
  <c r="P47" i="1"/>
  <c r="N47" i="1" a="1"/>
  <c r="N47" i="1" s="1"/>
  <c r="O47" i="1" s="1"/>
  <c r="P46" i="1"/>
  <c r="N46" i="1" a="1"/>
  <c r="N46" i="1" s="1"/>
  <c r="O46" i="1" s="1"/>
  <c r="P45" i="1"/>
  <c r="N45" i="1" a="1"/>
  <c r="N45" i="1" s="1"/>
  <c r="O45" i="1" s="1"/>
  <c r="P44" i="1"/>
  <c r="N44" i="1" a="1"/>
  <c r="N44" i="1" s="1"/>
  <c r="O44" i="1" s="1"/>
  <c r="P43" i="1"/>
  <c r="N43" i="1" a="1"/>
  <c r="N43" i="1" s="1"/>
  <c r="O43" i="1" s="1"/>
  <c r="P42" i="1"/>
  <c r="N42" i="1" a="1"/>
  <c r="N42" i="1" s="1"/>
  <c r="O42" i="1" s="1"/>
  <c r="P41" i="1"/>
  <c r="N41" i="1" a="1"/>
  <c r="N41" i="1" s="1"/>
  <c r="O41" i="1" s="1"/>
  <c r="P40" i="1"/>
  <c r="N40" i="1" a="1"/>
  <c r="N40" i="1" s="1"/>
  <c r="O40" i="1" s="1"/>
  <c r="P39" i="1"/>
  <c r="N39" i="1" a="1"/>
  <c r="N39" i="1" s="1"/>
  <c r="O39" i="1" s="1"/>
  <c r="P38" i="1"/>
  <c r="N38" i="1" a="1"/>
  <c r="N38" i="1" s="1"/>
  <c r="O38" i="1" s="1"/>
  <c r="P37" i="1"/>
  <c r="N37" i="1" a="1"/>
  <c r="N37" i="1" s="1"/>
  <c r="O37" i="1" s="1"/>
  <c r="P36" i="1"/>
  <c r="N36" i="1" a="1"/>
  <c r="N36" i="1" s="1"/>
  <c r="O36" i="1" s="1"/>
  <c r="P35" i="1"/>
  <c r="N35" i="1" a="1"/>
  <c r="N35" i="1" s="1"/>
  <c r="O35" i="1" s="1"/>
  <c r="P34" i="1"/>
  <c r="N34" i="1" a="1"/>
  <c r="N34" i="1" s="1"/>
  <c r="O34" i="1" s="1"/>
  <c r="P33" i="1"/>
  <c r="N33" i="1" a="1"/>
  <c r="N33" i="1" s="1"/>
  <c r="O33" i="1" s="1"/>
  <c r="P32" i="1"/>
  <c r="N32" i="1" a="1"/>
  <c r="N32" i="1" s="1"/>
  <c r="O32" i="1" s="1"/>
  <c r="P31" i="1"/>
  <c r="N31" i="1" a="1"/>
  <c r="N31" i="1" s="1"/>
  <c r="O31" i="1" s="1"/>
  <c r="P30" i="1"/>
  <c r="N30" i="1" a="1"/>
  <c r="N30" i="1" s="1"/>
  <c r="O30" i="1" s="1"/>
  <c r="P29" i="1"/>
  <c r="N29" i="1" a="1"/>
  <c r="N29" i="1" s="1"/>
  <c r="O29" i="1" s="1"/>
  <c r="P28" i="1"/>
  <c r="N28" i="1" a="1"/>
  <c r="N28" i="1" s="1"/>
  <c r="O28" i="1" s="1"/>
  <c r="P27" i="1"/>
  <c r="N27" i="1" a="1"/>
  <c r="N27" i="1" s="1"/>
  <c r="O27" i="1" s="1"/>
  <c r="P26" i="1"/>
  <c r="N26" i="1" a="1"/>
  <c r="N26" i="1" s="1"/>
  <c r="O26" i="1" s="1"/>
  <c r="P25" i="1"/>
  <c r="N25" i="1" a="1"/>
  <c r="N25" i="1" s="1"/>
  <c r="O25" i="1" s="1"/>
  <c r="P24" i="1"/>
  <c r="N24" i="1" a="1"/>
  <c r="N24" i="1" s="1"/>
  <c r="O24" i="1" s="1"/>
  <c r="P23" i="1"/>
  <c r="N23" i="1" a="1"/>
  <c r="N23" i="1" s="1"/>
  <c r="O23" i="1" s="1"/>
  <c r="P22" i="1"/>
  <c r="N22" i="1" a="1"/>
  <c r="N22" i="1" s="1"/>
  <c r="O22" i="1" s="1"/>
  <c r="P21" i="1"/>
  <c r="N21" i="1" a="1"/>
  <c r="N21" i="1" s="1"/>
  <c r="O21" i="1" s="1"/>
  <c r="P20" i="1"/>
  <c r="N20" i="1" a="1"/>
  <c r="N20" i="1" s="1"/>
  <c r="O20" i="1" s="1"/>
  <c r="P19" i="1"/>
  <c r="N19" i="1" a="1"/>
  <c r="N19" i="1" s="1"/>
  <c r="O19" i="1" s="1"/>
  <c r="P18" i="1"/>
  <c r="N18" i="1" a="1"/>
  <c r="N18" i="1" s="1"/>
  <c r="O18" i="1" s="1"/>
  <c r="P17" i="1"/>
  <c r="N17" i="1" a="1"/>
  <c r="N17" i="1" s="1"/>
  <c r="O17" i="1" s="1"/>
  <c r="P16" i="1"/>
  <c r="N16" i="1" a="1"/>
  <c r="N16" i="1" s="1"/>
  <c r="O16" i="1" s="1"/>
  <c r="P15" i="1"/>
  <c r="N15" i="1" a="1"/>
  <c r="N15" i="1" s="1"/>
  <c r="O15" i="1" s="1"/>
  <c r="P14" i="1"/>
  <c r="N14" i="1" a="1"/>
  <c r="N14" i="1" s="1"/>
  <c r="O14" i="1" s="1"/>
  <c r="P13" i="1"/>
  <c r="N13" i="1" a="1"/>
  <c r="N13" i="1" s="1"/>
  <c r="O13" i="1" s="1"/>
  <c r="P12" i="1"/>
  <c r="N12" i="1" a="1"/>
  <c r="N12" i="1" s="1"/>
  <c r="O12" i="1" s="1"/>
  <c r="P11" i="1"/>
  <c r="N11" i="1" a="1"/>
  <c r="N11" i="1" s="1"/>
  <c r="O11" i="1" s="1"/>
  <c r="P10" i="1"/>
  <c r="N10" i="1" a="1"/>
  <c r="N10" i="1" s="1"/>
  <c r="O10" i="1" s="1"/>
  <c r="P9" i="1"/>
  <c r="N9" i="1" a="1"/>
  <c r="N9" i="1" s="1"/>
  <c r="O9" i="1" s="1"/>
  <c r="P8" i="1"/>
  <c r="N8" i="1" a="1"/>
  <c r="N8" i="1" s="1"/>
  <c r="O8" i="1" s="1"/>
  <c r="P7" i="1"/>
  <c r="N7" i="1" a="1"/>
  <c r="N7" i="1" s="1"/>
  <c r="O7" i="1" s="1"/>
  <c r="P6" i="1"/>
  <c r="N6" i="1" a="1"/>
  <c r="N6" i="1" s="1"/>
  <c r="O6" i="1" s="1"/>
  <c r="P5" i="1"/>
  <c r="N5" i="1" a="1"/>
  <c r="N5" i="1" s="1"/>
  <c r="O5" i="1" s="1"/>
  <c r="P4" i="1"/>
  <c r="N4" i="1" a="1"/>
  <c r="N4" i="1" s="1"/>
  <c r="O4" i="1" s="1"/>
  <c r="P3" i="1"/>
  <c r="N3" i="1" a="1"/>
  <c r="N3" i="1" s="1"/>
  <c r="O3" i="1" s="1"/>
  <c r="P2" i="1"/>
  <c r="N2" i="1" a="1"/>
  <c r="N2" i="1" s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<sst xmlns="http://schemas.openxmlformats.org/spreadsheetml/2006/main" count="117" uniqueCount="17">
  <si>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</si>
  <si>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</si>
  <si>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</si>
  <si>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</si>
  <si>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</si>
  <si>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</si>
  <si>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</si>
  <si>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</si>
  <si>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</si>
  <si>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</si>
  <si>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</si>
  <si>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</si>
  <si>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</si>
  <si>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ls        </t>
  </si>
  <si>
    <t xml:space="preserve">cp        </t>
  </si>
  <si>
    <t xml:space="preserve">lh   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</si>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</sst>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8ABE-7F99-462E-A6EB-8FBDE5934460}">
  <dimension ref="A1:P105"/>
  <sheetViews>
    <sheetView tabSelected="1" topLeftCell="A18" workbookViewId="0">
      <selection activeCell="M67" sqref="M67"/>
    </sheetView>
  </sheetViews>
  <sheetFormatPr defaultRowHeight="15" x14ac:dyDescent="0.25"/>
  <cols>
    <col min="1" max="1" width="15.5703125" bestFit="1" customWidth="1"/>
    <col min="2" max="2" width="8.42578125" bestFit="1" customWidth="1"/>
    <col min="3" max="3" width="9.7109375" bestFit="1" customWidth="1"/>
    <col min="4" max="4" width="11" bestFit="1" customWidth="1"/>
    <col min="5" max="5" width="7" bestFit="1" customWidth="1"/>
    <col min="6" max="6" width="10" bestFit="1" customWidth="1"/>
    <col min="7" max="7" width="9.42578125" bestFit="1" customWidth="1"/>
    <col min="8" max="8" width="12.7109375" bestFit="1" customWidth="1"/>
    <col min="9" max="10" width="12" bestFit="1" customWidth="1"/>
    <col min="11" max="14" width="1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25">
      <c r="A2" s="1">
        <v>45947.951585648145</v>
      </c>
      <c r="B2">
        <v>1</v>
      </c>
      <c r="C2" t="s">
        <v>13</v>
      </c>
      <c r="D2">
        <v>37261.088199999998</v>
      </c>
      <c r="E2">
        <v>0</v>
      </c>
      <c r="F2">
        <v>0</v>
      </c>
      <c r="G2">
        <v>5000</v>
      </c>
      <c r="H2">
        <v>37431.287956369997</v>
      </c>
      <c r="I2">
        <v>30.001638710000002</v>
      </c>
      <c r="J2">
        <v>37.793530689999997</v>
      </c>
      <c r="K2">
        <v>-10440.156118250001</v>
      </c>
      <c r="L2">
        <v>-13288.59275258</v>
      </c>
      <c r="M2">
        <v>-23728.748870830001</v>
      </c>
      <c r="N2" t="str" cm="1">
        <f t="array" ref="N2">IF(C2="cp        ",_xlfn._xlws.FILTER(M:M,($B:$B=B2)*($C:$C="tm        ")),"")</f>
        <v/>
      </c>
      <c r="O2" t="str">
        <f>IF(AND(N2&lt;&gt;"",M2&lt;&gt;N2),1,"")</f>
        <v/>
      </c>
      <c r="P2" t="str">
        <f>IF(OR(I2&lt;0,J2&lt;0),1,"")</f>
        <v/>
      </c>
    </row>
    <row r="3" spans="1:16" x14ac:dyDescent="0.25">
      <c r="A3" s="1">
        <v>45947.951585648145</v>
      </c>
      <c r="B3">
        <v>1</v>
      </c>
      <c r="C3" t="s">
        <v>14</v>
      </c>
      <c r="D3">
        <v>17137.2768</v>
      </c>
      <c r="E3">
        <v>0.78920000000000001</v>
      </c>
      <c r="F3">
        <v>0</v>
      </c>
      <c r="G3">
        <v>5000</v>
      </c>
      <c r="H3">
        <v>37431.287956369997</v>
      </c>
      <c r="I3">
        <v>0.45122732999999998</v>
      </c>
      <c r="J3">
        <v>38.928381960000003</v>
      </c>
      <c r="K3">
        <v>-4128.2884517399998</v>
      </c>
      <c r="L3">
        <v>-15452.72405124</v>
      </c>
      <c r="M3">
        <v>-19581.01250298</v>
      </c>
      <c r="N3" cm="1">
        <f t="array" ref="N3">IF(C3="cp        ",_xlfn._xlws.FILTER(M:M,($B:$B=B3)*($C:$C="tm        ")),"")</f>
        <v>-19581.01250298</v>
      </c>
      <c r="O3" t="str">
        <f>IF(AND(N3&lt;&gt;"",M3&lt;&gt;N3),1,"")</f>
        <v/>
      </c>
      <c r="P3" t="str">
        <f t="shared" ref="P3:P66" si="0">IF(OR(I3&lt;0,J3&lt;0),1,"")</f>
        <v/>
      </c>
    </row>
    <row r="4" spans="1:16" x14ac:dyDescent="0.25">
      <c r="A4" s="1">
        <v>45947.951585648145</v>
      </c>
      <c r="B4">
        <v>1</v>
      </c>
      <c r="C4" t="s">
        <v>15</v>
      </c>
      <c r="D4">
        <v>37261.088199999998</v>
      </c>
      <c r="E4">
        <v>0</v>
      </c>
      <c r="F4">
        <v>0</v>
      </c>
      <c r="G4">
        <v>5000</v>
      </c>
      <c r="H4">
        <v>37431.287956369997</v>
      </c>
      <c r="I4">
        <v>30.001638710000002</v>
      </c>
      <c r="J4">
        <v>37.793530689999997</v>
      </c>
      <c r="K4">
        <v>-10440.156118250001</v>
      </c>
      <c r="L4">
        <v>-13288.59275258</v>
      </c>
      <c r="M4">
        <v>-23728.748870830001</v>
      </c>
      <c r="N4" t="str" cm="1">
        <f t="array" ref="N4">IF(C4="cp        ",_xlfn._xlws.FILTER(M:M,($B:$B=B4)*($C:$C="tm        ")),"")</f>
        <v/>
      </c>
      <c r="O4" t="str">
        <f t="shared" ref="O4:O67" si="1">IF(AND(N4&lt;&gt;"",M4&lt;&gt;N4),1,"")</f>
        <v/>
      </c>
      <c r="P4" t="str">
        <f t="shared" si="0"/>
        <v/>
      </c>
    </row>
    <row r="5" spans="1:16" x14ac:dyDescent="0.25">
      <c r="A5" s="1">
        <v>45947.951585648145</v>
      </c>
      <c r="B5">
        <v>1</v>
      </c>
      <c r="C5" t="s">
        <v>16</v>
      </c>
      <c r="D5">
        <v>9794.0375000000004</v>
      </c>
      <c r="E5">
        <v>0.875</v>
      </c>
      <c r="F5">
        <v>1066.3249000000001</v>
      </c>
      <c r="G5">
        <v>5000</v>
      </c>
      <c r="H5">
        <v>37431.287956369997</v>
      </c>
      <c r="I5">
        <v>0</v>
      </c>
      <c r="J5">
        <v>41.572606589999999</v>
      </c>
      <c r="K5">
        <v>-1945.1897798699999</v>
      </c>
      <c r="L5">
        <v>-17635.82272312</v>
      </c>
      <c r="M5">
        <v>-19581.01250298</v>
      </c>
      <c r="N5" t="str" cm="1">
        <f t="array" ref="N5">IF(C5="cp        ",_xlfn._xlws.FILTER(M:M,($B:$B=B5)*($C:$C="tm        ")),"")</f>
        <v/>
      </c>
      <c r="O5" t="str">
        <f t="shared" si="1"/>
        <v/>
      </c>
      <c r="P5" t="str">
        <f t="shared" si="0"/>
        <v/>
      </c>
    </row>
    <row r="6" spans="1:16" x14ac:dyDescent="0.25">
      <c r="A6" s="1">
        <v>45947.951620370368</v>
      </c>
      <c r="B6">
        <v>2</v>
      </c>
      <c r="C6" t="s">
        <v>13</v>
      </c>
      <c r="D6">
        <v>30556.652900000001</v>
      </c>
      <c r="E6">
        <v>0</v>
      </c>
      <c r="F6">
        <v>0</v>
      </c>
      <c r="G6">
        <v>5000</v>
      </c>
      <c r="H6">
        <v>41431.287956369997</v>
      </c>
      <c r="I6">
        <v>28.809468070000001</v>
      </c>
      <c r="J6">
        <v>39.435188250000003</v>
      </c>
      <c r="K6">
        <v>-10335.67012991</v>
      </c>
      <c r="L6">
        <v>-14708.644637310001</v>
      </c>
      <c r="M6">
        <v>-25044.314767219999</v>
      </c>
      <c r="N6" t="str" cm="1">
        <f t="array" ref="N6">IF(C6="cp        ",_xlfn._xlws.FILTER(M:M,($B:$B=B6)*($C:$C="tm        ")),"")</f>
        <v/>
      </c>
      <c r="O6" t="str">
        <f t="shared" si="1"/>
        <v/>
      </c>
      <c r="P6" t="str">
        <f t="shared" si="0"/>
        <v/>
      </c>
    </row>
    <row r="7" spans="1:16" x14ac:dyDescent="0.25">
      <c r="A7" s="1">
        <v>45947.951620370368</v>
      </c>
      <c r="B7">
        <v>2</v>
      </c>
      <c r="C7" t="s">
        <v>14</v>
      </c>
      <c r="D7">
        <v>11776.374900000001</v>
      </c>
      <c r="E7">
        <v>0.87350000000000005</v>
      </c>
      <c r="F7">
        <v>0</v>
      </c>
      <c r="G7">
        <v>5000</v>
      </c>
      <c r="H7">
        <v>41431.287956369997</v>
      </c>
      <c r="I7">
        <v>0</v>
      </c>
      <c r="J7">
        <v>40.570038650000001</v>
      </c>
      <c r="K7">
        <v>-2476.9737759499999</v>
      </c>
      <c r="L7">
        <v>-17104.038727030002</v>
      </c>
      <c r="M7">
        <v>-19581.01250298</v>
      </c>
      <c r="N7" cm="1">
        <f t="array" ref="N7">IF(C7="cp        ",_xlfn._xlws.FILTER(M:M,($B:$B=B7)*($C:$C="tm        ")),"")</f>
        <v>-19581.01250298</v>
      </c>
      <c r="O7" t="str">
        <f t="shared" si="1"/>
        <v/>
      </c>
      <c r="P7" t="str">
        <f t="shared" si="0"/>
        <v/>
      </c>
    </row>
    <row r="8" spans="1:16" x14ac:dyDescent="0.25">
      <c r="A8" s="1">
        <v>45947.951620370368</v>
      </c>
      <c r="B8">
        <v>2</v>
      </c>
      <c r="C8" t="s">
        <v>15</v>
      </c>
      <c r="D8">
        <v>30556.652900000001</v>
      </c>
      <c r="E8">
        <v>0</v>
      </c>
      <c r="F8">
        <v>0</v>
      </c>
      <c r="G8">
        <v>5000</v>
      </c>
      <c r="H8">
        <v>41431.287956369997</v>
      </c>
      <c r="I8">
        <v>28.809468070000001</v>
      </c>
      <c r="J8">
        <v>39.435188250000003</v>
      </c>
      <c r="K8">
        <v>-10335.67012991</v>
      </c>
      <c r="L8">
        <v>-14708.644637310001</v>
      </c>
      <c r="M8">
        <v>-25044.314767219999</v>
      </c>
      <c r="N8" t="str" cm="1">
        <f t="array" ref="N8">IF(C8="cp        ",_xlfn._xlws.FILTER(M:M,($B:$B=B8)*($C:$C="tm        ")),"")</f>
        <v/>
      </c>
      <c r="O8" t="str">
        <f t="shared" si="1"/>
        <v/>
      </c>
      <c r="P8" t="str">
        <f t="shared" si="0"/>
        <v/>
      </c>
    </row>
    <row r="9" spans="1:16" x14ac:dyDescent="0.25">
      <c r="A9" s="1">
        <v>45947.951620370368</v>
      </c>
      <c r="B9">
        <v>2</v>
      </c>
      <c r="C9" t="s">
        <v>16</v>
      </c>
      <c r="D9">
        <v>6556.9814999999999</v>
      </c>
      <c r="E9">
        <v>0.9375</v>
      </c>
      <c r="F9">
        <v>795.09079999999994</v>
      </c>
      <c r="G9">
        <v>5000</v>
      </c>
      <c r="H9">
        <v>41431.287956369997</v>
      </c>
      <c r="I9">
        <v>0</v>
      </c>
      <c r="J9">
        <v>42.259746649999997</v>
      </c>
      <c r="K9">
        <v>-849.17548319000002</v>
      </c>
      <c r="L9">
        <v>-18731.83701979</v>
      </c>
      <c r="M9">
        <v>-19581.01250298</v>
      </c>
      <c r="N9" t="str" cm="1">
        <f t="array" ref="N9">IF(C9="cp        ",_xlfn._xlws.FILTER(M:M,($B:$B=B9)*($C:$C="tm        ")),"")</f>
        <v/>
      </c>
      <c r="O9" t="str">
        <f t="shared" si="1"/>
        <v/>
      </c>
      <c r="P9" t="str">
        <f t="shared" si="0"/>
        <v/>
      </c>
    </row>
    <row r="10" spans="1:16" x14ac:dyDescent="0.25">
      <c r="A10" s="1">
        <v>45947.951643518521</v>
      </c>
      <c r="B10">
        <v>3</v>
      </c>
      <c r="C10" t="s">
        <v>13</v>
      </c>
      <c r="D10">
        <v>33070.816099999996</v>
      </c>
      <c r="E10">
        <v>0</v>
      </c>
      <c r="F10">
        <v>0</v>
      </c>
      <c r="G10">
        <v>5000</v>
      </c>
      <c r="H10">
        <v>39931.287956369997</v>
      </c>
      <c r="I10">
        <v>29.256532060000001</v>
      </c>
      <c r="J10">
        <v>38.860869719999997</v>
      </c>
      <c r="K10">
        <v>-10297.13056598</v>
      </c>
      <c r="L10">
        <v>-14176.12518053</v>
      </c>
      <c r="M10">
        <v>-24473.25574651</v>
      </c>
      <c r="N10" t="str" cm="1">
        <f t="array" ref="N10">IF(C10="cp        ",_xlfn._xlws.FILTER(M:M,($B:$B=B10)*($C:$C="tm        ")),"")</f>
        <v/>
      </c>
      <c r="O10" t="str">
        <f t="shared" si="1"/>
        <v/>
      </c>
      <c r="P10" t="str">
        <f t="shared" si="0"/>
        <v/>
      </c>
    </row>
    <row r="11" spans="1:16" x14ac:dyDescent="0.25">
      <c r="A11" s="1">
        <v>45947.951643518521</v>
      </c>
      <c r="B11">
        <v>3</v>
      </c>
      <c r="C11" t="s">
        <v>14</v>
      </c>
      <c r="D11">
        <v>13707.6674</v>
      </c>
      <c r="E11">
        <v>0.84189999999999998</v>
      </c>
      <c r="F11">
        <v>0</v>
      </c>
      <c r="G11">
        <v>5000</v>
      </c>
      <c r="H11">
        <v>39931.287956369997</v>
      </c>
      <c r="I11">
        <v>0</v>
      </c>
      <c r="J11">
        <v>39.995718539999999</v>
      </c>
      <c r="K11">
        <v>-3096.2201570399998</v>
      </c>
      <c r="L11">
        <v>-16484.792345950002</v>
      </c>
      <c r="M11">
        <v>-19581.01250298</v>
      </c>
      <c r="N11" cm="1">
        <f t="array" ref="N11">IF(C11="cp        ",_xlfn._xlws.FILTER(M:M,($B:$B=B11)*($C:$C="tm        ")),"")</f>
        <v>-19581.01250298</v>
      </c>
      <c r="O11" t="str">
        <f t="shared" si="1"/>
        <v/>
      </c>
      <c r="P11" t="str">
        <f t="shared" si="0"/>
        <v/>
      </c>
    </row>
    <row r="12" spans="1:16" x14ac:dyDescent="0.25">
      <c r="A12" s="1">
        <v>45947.951643518521</v>
      </c>
      <c r="B12">
        <v>3</v>
      </c>
      <c r="C12" t="s">
        <v>15</v>
      </c>
      <c r="D12">
        <v>33070.816099999996</v>
      </c>
      <c r="E12">
        <v>0</v>
      </c>
      <c r="F12">
        <v>0</v>
      </c>
      <c r="G12">
        <v>5000</v>
      </c>
      <c r="H12">
        <v>39931.287956369997</v>
      </c>
      <c r="I12">
        <v>29.256532060000001</v>
      </c>
      <c r="J12">
        <v>38.860869719999997</v>
      </c>
      <c r="K12">
        <v>-10297.13056598</v>
      </c>
      <c r="L12">
        <v>-14176.12518053</v>
      </c>
      <c r="M12">
        <v>-24473.25574651</v>
      </c>
      <c r="N12" t="str" cm="1">
        <f t="array" ref="N12">IF(C12="cp        ",_xlfn._xlws.FILTER(M:M,($B:$B=B12)*($C:$C="tm        ")),"")</f>
        <v/>
      </c>
      <c r="O12" t="str">
        <f t="shared" si="1"/>
        <v/>
      </c>
      <c r="P12" t="str">
        <f t="shared" si="0"/>
        <v/>
      </c>
    </row>
    <row r="13" spans="1:16" x14ac:dyDescent="0.25">
      <c r="A13" s="1">
        <v>45947.951643518521</v>
      </c>
      <c r="B13">
        <v>3</v>
      </c>
      <c r="C13" t="s">
        <v>16</v>
      </c>
      <c r="D13">
        <v>10956.5903</v>
      </c>
      <c r="E13">
        <v>0.875</v>
      </c>
      <c r="F13">
        <v>411.51229999999998</v>
      </c>
      <c r="G13">
        <v>5000</v>
      </c>
      <c r="H13">
        <v>39931.287956369997</v>
      </c>
      <c r="I13">
        <v>0</v>
      </c>
      <c r="J13">
        <v>40.978954770000001</v>
      </c>
      <c r="K13">
        <v>-2253.72451477</v>
      </c>
      <c r="L13">
        <v>-17327.287988209999</v>
      </c>
      <c r="M13">
        <v>-19581.01250298</v>
      </c>
      <c r="N13" t="str" cm="1">
        <f t="array" ref="N13">IF(C13="cp        ",_xlfn._xlws.FILTER(M:M,($B:$B=B13)*($C:$C="tm        ")),"")</f>
        <v/>
      </c>
      <c r="O13" t="str">
        <f t="shared" si="1"/>
        <v/>
      </c>
      <c r="P13" t="str">
        <f t="shared" si="0"/>
        <v/>
      </c>
    </row>
    <row r="14" spans="1:16" x14ac:dyDescent="0.25">
      <c r="A14" s="1">
        <v>45947.951666666668</v>
      </c>
      <c r="B14">
        <v>4</v>
      </c>
      <c r="C14" t="s">
        <v>13</v>
      </c>
      <c r="D14">
        <v>41451.360200000003</v>
      </c>
      <c r="E14">
        <v>0</v>
      </c>
      <c r="F14">
        <v>0</v>
      </c>
      <c r="G14">
        <v>5000</v>
      </c>
      <c r="H14">
        <v>34931.287956369997</v>
      </c>
      <c r="I14">
        <v>30.746745369999999</v>
      </c>
      <c r="J14">
        <v>36.560721700000002</v>
      </c>
      <c r="K14">
        <v>-10602.285351549999</v>
      </c>
      <c r="L14">
        <v>-12401.060324620001</v>
      </c>
      <c r="M14">
        <v>-23003.34567617</v>
      </c>
      <c r="N14" t="str" cm="1">
        <f t="array" ref="N14">IF(C14="cp        ",_xlfn._xlws.FILTER(M:M,($B:$B=B14)*($C:$C="tm        ")),"")</f>
        <v/>
      </c>
      <c r="O14" t="str">
        <f t="shared" si="1"/>
        <v/>
      </c>
      <c r="P14" t="str">
        <f t="shared" si="0"/>
        <v/>
      </c>
    </row>
    <row r="15" spans="1:16" x14ac:dyDescent="0.25">
      <c r="A15" s="1">
        <v>45947.951666666668</v>
      </c>
      <c r="B15">
        <v>4</v>
      </c>
      <c r="C15" t="s">
        <v>14</v>
      </c>
      <c r="D15">
        <v>20830.447700000001</v>
      </c>
      <c r="E15">
        <v>0.73650000000000004</v>
      </c>
      <c r="F15">
        <v>0</v>
      </c>
      <c r="G15">
        <v>5000</v>
      </c>
      <c r="H15">
        <v>34931.287956369997</v>
      </c>
      <c r="I15">
        <v>6.0177986099999998</v>
      </c>
      <c r="J15">
        <v>37.695572779999999</v>
      </c>
      <c r="K15">
        <v>-5160.3614458100001</v>
      </c>
      <c r="L15">
        <v>-14420.65105717</v>
      </c>
      <c r="M15">
        <v>-19581.01250298</v>
      </c>
      <c r="N15" cm="1">
        <f t="array" ref="N15">IF(C15="cp        ",_xlfn._xlws.FILTER(M:M,($B:$B=B15)*($C:$C="tm        ")),"")</f>
        <v>-19581.01250298</v>
      </c>
      <c r="O15" t="str">
        <f t="shared" si="1"/>
        <v/>
      </c>
      <c r="P15" t="str">
        <f t="shared" si="0"/>
        <v/>
      </c>
    </row>
    <row r="16" spans="1:16" x14ac:dyDescent="0.25">
      <c r="A16" s="1">
        <v>45947.951666666668</v>
      </c>
      <c r="B16">
        <v>4</v>
      </c>
      <c r="C16" t="s">
        <v>15</v>
      </c>
      <c r="D16">
        <v>41451.360200000003</v>
      </c>
      <c r="E16">
        <v>0</v>
      </c>
      <c r="F16">
        <v>0</v>
      </c>
      <c r="G16">
        <v>5000</v>
      </c>
      <c r="H16">
        <v>34931.287956369997</v>
      </c>
      <c r="I16">
        <v>30.746745369999999</v>
      </c>
      <c r="J16">
        <v>36.560721700000002</v>
      </c>
      <c r="K16">
        <v>-10602.285351549999</v>
      </c>
      <c r="L16">
        <v>-12401.060324620001</v>
      </c>
      <c r="M16">
        <v>-23003.34567617</v>
      </c>
      <c r="N16" t="str" cm="1">
        <f t="array" ref="N16">IF(C16="cp        ",_xlfn._xlws.FILTER(M:M,($B:$B=B16)*($C:$C="tm        ")),"")</f>
        <v/>
      </c>
      <c r="O16" t="str">
        <f t="shared" si="1"/>
        <v/>
      </c>
      <c r="P16" t="str">
        <f t="shared" si="0"/>
        <v/>
      </c>
    </row>
    <row r="17" spans="1:16" x14ac:dyDescent="0.25">
      <c r="A17" s="1">
        <v>45947.951666666668</v>
      </c>
      <c r="B17">
        <v>4</v>
      </c>
      <c r="C17" t="s">
        <v>16</v>
      </c>
      <c r="D17">
        <v>19638.2444</v>
      </c>
      <c r="E17">
        <v>0.75</v>
      </c>
      <c r="F17">
        <v>168.2097</v>
      </c>
      <c r="G17">
        <v>5000</v>
      </c>
      <c r="H17">
        <v>34931.287956369997</v>
      </c>
      <c r="I17">
        <v>3.8787267399999998</v>
      </c>
      <c r="J17">
        <v>38.234154539999999</v>
      </c>
      <c r="K17">
        <v>-4815.9874668499997</v>
      </c>
      <c r="L17">
        <v>-14765.02503613</v>
      </c>
      <c r="M17">
        <v>-19581.01250298</v>
      </c>
      <c r="N17" t="str" cm="1">
        <f t="array" ref="N17">IF(C17="cp        ",_xlfn._xlws.FILTER(M:M,($B:$B=B17)*($C:$C="tm        ")),"")</f>
        <v/>
      </c>
      <c r="O17" t="str">
        <f t="shared" si="1"/>
        <v/>
      </c>
      <c r="P17" t="str">
        <f t="shared" si="0"/>
        <v/>
      </c>
    </row>
    <row r="18" spans="1:16" x14ac:dyDescent="0.25">
      <c r="A18" s="1">
        <v>45947.951689814814</v>
      </c>
      <c r="B18">
        <v>5</v>
      </c>
      <c r="C18" t="s">
        <v>13</v>
      </c>
      <c r="D18">
        <v>54022.176399999997</v>
      </c>
      <c r="E18">
        <v>0</v>
      </c>
      <c r="F18">
        <v>0</v>
      </c>
      <c r="G18">
        <v>5000</v>
      </c>
      <c r="H18">
        <v>27431.287956370001</v>
      </c>
      <c r="I18">
        <v>32.982065319999997</v>
      </c>
      <c r="J18">
        <v>31.366398069999999</v>
      </c>
      <c r="K18">
        <v>-11813.447088229999</v>
      </c>
      <c r="L18">
        <v>-9738.4630407500008</v>
      </c>
      <c r="M18">
        <v>-21551.910128979998</v>
      </c>
      <c r="N18" t="str" cm="1">
        <f t="array" ref="N18">IF(C18="cp        ",_xlfn._xlws.FILTER(M:M,($B:$B=B18)*($C:$C="tm        ")),"")</f>
        <v/>
      </c>
      <c r="O18" t="str">
        <f t="shared" si="1"/>
        <v/>
      </c>
      <c r="P18" t="str">
        <f t="shared" si="0"/>
        <v/>
      </c>
    </row>
    <row r="19" spans="1:16" x14ac:dyDescent="0.25">
      <c r="A19" s="1">
        <v>45947.951689814814</v>
      </c>
      <c r="B19">
        <v>5</v>
      </c>
      <c r="C19" t="s">
        <v>14</v>
      </c>
      <c r="D19">
        <v>33491.189100000003</v>
      </c>
      <c r="E19">
        <v>0.57830000000000004</v>
      </c>
      <c r="F19">
        <v>0</v>
      </c>
      <c r="G19">
        <v>5000</v>
      </c>
      <c r="H19">
        <v>27431.287956370001</v>
      </c>
      <c r="I19">
        <v>22.97258618</v>
      </c>
      <c r="J19">
        <v>32.501249319999999</v>
      </c>
      <c r="K19">
        <v>-8256.57925316</v>
      </c>
      <c r="L19">
        <v>-11324.43324982</v>
      </c>
      <c r="M19">
        <v>-19581.01250298</v>
      </c>
      <c r="N19" cm="1">
        <f t="array" ref="N19">IF(C19="cp        ",_xlfn._xlws.FILTER(M:M,($B:$B=B19)*($C:$C="tm        ")),"")</f>
        <v>-19581.01250298</v>
      </c>
      <c r="O19" t="str">
        <f t="shared" si="1"/>
        <v/>
      </c>
      <c r="P19" t="str">
        <f t="shared" si="0"/>
        <v/>
      </c>
    </row>
    <row r="20" spans="1:16" x14ac:dyDescent="0.25">
      <c r="A20" s="1">
        <v>45947.951689814814</v>
      </c>
      <c r="B20">
        <v>5</v>
      </c>
      <c r="C20" t="s">
        <v>15</v>
      </c>
      <c r="D20">
        <v>54022.176399999997</v>
      </c>
      <c r="E20">
        <v>0</v>
      </c>
      <c r="F20">
        <v>0</v>
      </c>
      <c r="G20">
        <v>5000</v>
      </c>
      <c r="H20">
        <v>27431.287956370001</v>
      </c>
      <c r="I20">
        <v>32.982065319999997</v>
      </c>
      <c r="J20">
        <v>31.366398069999999</v>
      </c>
      <c r="K20">
        <v>-11813.447088229999</v>
      </c>
      <c r="L20">
        <v>-9738.4630407500008</v>
      </c>
      <c r="M20">
        <v>-21551.910128979998</v>
      </c>
      <c r="N20" t="str" cm="1">
        <f t="array" ref="N20">IF(C20="cp        ",_xlfn._xlws.FILTER(M:M,($B:$B=B20)*($C:$C="tm        ")),"")</f>
        <v/>
      </c>
      <c r="O20" t="str">
        <f t="shared" si="1"/>
        <v/>
      </c>
      <c r="P20" t="str">
        <f t="shared" si="0"/>
        <v/>
      </c>
    </row>
    <row r="21" spans="1:16" x14ac:dyDescent="0.25">
      <c r="A21" s="1">
        <v>45947.951689814814</v>
      </c>
      <c r="B21">
        <v>5</v>
      </c>
      <c r="C21" t="s">
        <v>16</v>
      </c>
      <c r="D21">
        <v>29032.355599999999</v>
      </c>
      <c r="E21">
        <v>0.625</v>
      </c>
      <c r="F21">
        <v>579.71770000000004</v>
      </c>
      <c r="G21">
        <v>5000</v>
      </c>
      <c r="H21">
        <v>27431.287956370001</v>
      </c>
      <c r="I21">
        <v>16.934994240000002</v>
      </c>
      <c r="J21">
        <v>35.279112050000002</v>
      </c>
      <c r="K21">
        <v>-7069.7191078200003</v>
      </c>
      <c r="L21">
        <v>-12511.29339517</v>
      </c>
      <c r="M21">
        <v>-19581.01250298</v>
      </c>
      <c r="N21" t="str" cm="1">
        <f t="array" ref="N21">IF(C21="cp        ",_xlfn._xlws.FILTER(M:M,($B:$B=B21)*($C:$C="tm        ")),"")</f>
        <v/>
      </c>
      <c r="O21" t="str">
        <f t="shared" si="1"/>
        <v/>
      </c>
      <c r="P21" t="str">
        <f t="shared" si="0"/>
        <v/>
      </c>
    </row>
    <row r="22" spans="1:16" x14ac:dyDescent="0.25">
      <c r="A22" s="1">
        <v>45947.951701388891</v>
      </c>
      <c r="B22">
        <v>6</v>
      </c>
      <c r="C22" t="s">
        <v>13</v>
      </c>
      <c r="D22">
        <v>79163.808600000004</v>
      </c>
      <c r="E22">
        <v>0</v>
      </c>
      <c r="F22">
        <v>0</v>
      </c>
      <c r="G22">
        <v>5000</v>
      </c>
      <c r="H22">
        <v>12431.287956370001</v>
      </c>
      <c r="I22">
        <v>38.714933780000003</v>
      </c>
      <c r="J22">
        <v>0</v>
      </c>
      <c r="K22">
        <v>-15838.48387222</v>
      </c>
      <c r="L22">
        <v>-4413.26847301</v>
      </c>
      <c r="M22">
        <v>-20251.752345230001</v>
      </c>
      <c r="N22" t="str" cm="1">
        <f t="array" ref="N22">IF(C22="cp        ",_xlfn._xlws.FILTER(M:M,($B:$B=B22)*($C:$C="tm        ")),"")</f>
        <v/>
      </c>
      <c r="O22" t="str">
        <f t="shared" si="1"/>
        <v/>
      </c>
      <c r="P22" t="str">
        <f t="shared" si="0"/>
        <v/>
      </c>
    </row>
    <row r="23" spans="1:16" x14ac:dyDescent="0.25">
      <c r="A23" s="1">
        <v>45947.951701388891</v>
      </c>
      <c r="B23">
        <v>6</v>
      </c>
      <c r="C23" t="s">
        <v>14</v>
      </c>
      <c r="D23">
        <v>65928.229099999997</v>
      </c>
      <c r="E23">
        <v>0.2621</v>
      </c>
      <c r="F23">
        <v>0</v>
      </c>
      <c r="G23">
        <v>5000</v>
      </c>
      <c r="H23">
        <v>12431.287956370001</v>
      </c>
      <c r="I23">
        <v>37.732004250000003</v>
      </c>
      <c r="J23">
        <v>5.83673837</v>
      </c>
      <c r="K23">
        <v>-14449.01486788</v>
      </c>
      <c r="L23">
        <v>-5131.9976351100004</v>
      </c>
      <c r="M23">
        <v>-19581.012502990001</v>
      </c>
      <c r="N23" cm="1">
        <f t="array" ref="N23">IF(C23="cp        ",_xlfn._xlws.FILTER(M:M,($B:$B=B23)*($C:$C="tm        ")),"")</f>
        <v>-19581.01250298</v>
      </c>
      <c r="O23">
        <f t="shared" si="1"/>
        <v>1</v>
      </c>
      <c r="P23" t="str">
        <f t="shared" si="0"/>
        <v/>
      </c>
    </row>
    <row r="24" spans="1:16" x14ac:dyDescent="0.25">
      <c r="A24" s="1">
        <v>45947.951701388891</v>
      </c>
      <c r="B24">
        <v>6</v>
      </c>
      <c r="C24" t="s">
        <v>15</v>
      </c>
      <c r="D24">
        <v>79163.808600000004</v>
      </c>
      <c r="E24">
        <v>0</v>
      </c>
      <c r="F24">
        <v>0</v>
      </c>
      <c r="G24">
        <v>5000</v>
      </c>
      <c r="H24">
        <v>12431.287956370001</v>
      </c>
      <c r="I24">
        <v>38.714933780000003</v>
      </c>
      <c r="J24">
        <v>0</v>
      </c>
      <c r="K24">
        <v>-15838.48387222</v>
      </c>
      <c r="L24">
        <v>-4413.26847301</v>
      </c>
      <c r="M24">
        <v>-20251.752345230001</v>
      </c>
      <c r="N24" t="str" cm="1">
        <f t="array" ref="N24">IF(C24="cp        ",_xlfn._xlws.FILTER(M:M,($B:$B=B24)*($C:$C="tm        ")),"")</f>
        <v/>
      </c>
      <c r="O24" t="str">
        <f t="shared" si="1"/>
        <v/>
      </c>
      <c r="P24" t="str">
        <f t="shared" si="0"/>
        <v/>
      </c>
    </row>
    <row r="25" spans="1:16" x14ac:dyDescent="0.25">
      <c r="A25" s="1">
        <v>45947.951701388891</v>
      </c>
      <c r="B25">
        <v>6</v>
      </c>
      <c r="C25" t="s">
        <v>16</v>
      </c>
      <c r="D25">
        <v>39626.280700000003</v>
      </c>
      <c r="E25">
        <v>0.5</v>
      </c>
      <c r="F25">
        <v>2955.6691000000001</v>
      </c>
      <c r="G25">
        <v>5000</v>
      </c>
      <c r="H25">
        <v>12431.287956370001</v>
      </c>
      <c r="I25">
        <v>21.025635359999999</v>
      </c>
      <c r="J25">
        <v>34.958602329999998</v>
      </c>
      <c r="K25">
        <v>-8397.8371097300005</v>
      </c>
      <c r="L25">
        <v>-11183.17539325</v>
      </c>
      <c r="M25">
        <v>-19581.01250298</v>
      </c>
      <c r="N25" t="str" cm="1">
        <f t="array" ref="N25">IF(C25="cp        ",_xlfn._xlws.FILTER(M:M,($B:$B=B25)*($C:$C="tm        ")),"")</f>
        <v/>
      </c>
      <c r="O25" t="str">
        <f t="shared" si="1"/>
        <v/>
      </c>
      <c r="P25" t="str">
        <f t="shared" si="0"/>
        <v/>
      </c>
    </row>
    <row r="26" spans="1:16" x14ac:dyDescent="0.25">
      <c r="A26" s="1">
        <v>45947.951817129629</v>
      </c>
      <c r="B26">
        <v>7</v>
      </c>
      <c r="C26" t="s">
        <v>13</v>
      </c>
      <c r="D26">
        <v>22261.088199999998</v>
      </c>
      <c r="E26">
        <v>0</v>
      </c>
      <c r="F26">
        <v>0</v>
      </c>
      <c r="G26">
        <v>5000</v>
      </c>
      <c r="H26">
        <v>46380.587570770003</v>
      </c>
      <c r="I26">
        <v>0.83136129999999997</v>
      </c>
      <c r="J26">
        <v>41.050660440000001</v>
      </c>
      <c r="K26">
        <v>-4228.6698909400002</v>
      </c>
      <c r="L26">
        <v>-16465.710198699999</v>
      </c>
      <c r="M26">
        <v>-20694.380089639999</v>
      </c>
      <c r="N26" t="str" cm="1">
        <f t="array" ref="N26">IF(C26="cp        ",_xlfn._xlws.FILTER(M:M,($B:$B=B26)*($C:$C="tm        ")),"")</f>
        <v/>
      </c>
      <c r="O26" t="str">
        <f t="shared" si="1"/>
        <v/>
      </c>
      <c r="P26" t="str">
        <f t="shared" si="0"/>
        <v/>
      </c>
    </row>
    <row r="27" spans="1:16" x14ac:dyDescent="0.25">
      <c r="A27" s="1">
        <v>45947.951817129629</v>
      </c>
      <c r="B27">
        <v>7</v>
      </c>
      <c r="C27" t="s">
        <v>14</v>
      </c>
      <c r="D27">
        <v>13623.4239</v>
      </c>
      <c r="E27">
        <v>0.8226</v>
      </c>
      <c r="F27">
        <v>0</v>
      </c>
      <c r="G27">
        <v>5000</v>
      </c>
      <c r="H27">
        <v>46380.587570770003</v>
      </c>
      <c r="I27">
        <v>0</v>
      </c>
      <c r="J27">
        <v>41.092681220000003</v>
      </c>
      <c r="K27">
        <v>-3552.69888335</v>
      </c>
      <c r="L27">
        <v>-16477.626419100001</v>
      </c>
      <c r="M27">
        <v>-20030.325302460002</v>
      </c>
      <c r="N27" cm="1">
        <f t="array" ref="N27">IF(C27="cp        ",_xlfn._xlws.FILTER(M:M,($B:$B=B27)*($C:$C="tm        ")),"")</f>
        <v>-20030.252929900002</v>
      </c>
      <c r="O27">
        <f t="shared" si="1"/>
        <v>1</v>
      </c>
      <c r="P27" t="str">
        <f t="shared" si="0"/>
        <v/>
      </c>
    </row>
    <row r="28" spans="1:16" x14ac:dyDescent="0.25">
      <c r="A28" s="1">
        <v>45947.951817129629</v>
      </c>
      <c r="B28">
        <v>7</v>
      </c>
      <c r="C28" t="s">
        <v>15</v>
      </c>
      <c r="D28">
        <v>22261.088199999998</v>
      </c>
      <c r="E28">
        <v>0</v>
      </c>
      <c r="F28">
        <v>0</v>
      </c>
      <c r="G28">
        <v>5000</v>
      </c>
      <c r="H28">
        <v>46380.587570770003</v>
      </c>
      <c r="I28">
        <v>0.83136129999999997</v>
      </c>
      <c r="J28">
        <v>41.050660440000001</v>
      </c>
      <c r="K28">
        <v>-4228.6698909400002</v>
      </c>
      <c r="L28">
        <v>-16465.710198699999</v>
      </c>
      <c r="M28">
        <v>-20694.380089639999</v>
      </c>
      <c r="N28" t="str" cm="1">
        <f t="array" ref="N28">IF(C28="cp        ",_xlfn._xlws.FILTER(M:M,($B:$B=B28)*($C:$C="tm        ")),"")</f>
        <v/>
      </c>
      <c r="O28" t="str">
        <f t="shared" si="1"/>
        <v/>
      </c>
      <c r="P28" t="str">
        <f t="shared" si="0"/>
        <v/>
      </c>
    </row>
    <row r="29" spans="1:16" x14ac:dyDescent="0.25">
      <c r="A29" s="1">
        <v>45947.951817129629</v>
      </c>
      <c r="B29">
        <v>7</v>
      </c>
      <c r="C29" t="s">
        <v>16</v>
      </c>
      <c r="D29">
        <v>4882.1301999999996</v>
      </c>
      <c r="E29">
        <v>0.92279999999999995</v>
      </c>
      <c r="F29">
        <v>1590.652</v>
      </c>
      <c r="G29">
        <v>5000</v>
      </c>
      <c r="H29">
        <v>46380.587570770003</v>
      </c>
      <c r="I29">
        <v>0</v>
      </c>
      <c r="J29">
        <v>43.888427350000001</v>
      </c>
      <c r="K29">
        <v>-666.11843336000004</v>
      </c>
      <c r="L29">
        <v>-19364.134496549999</v>
      </c>
      <c r="M29">
        <v>-20030.252929900002</v>
      </c>
      <c r="N29" t="str" cm="1">
        <f t="array" ref="N29">IF(C29="cp        ",_xlfn._xlws.FILTER(M:M,($B:$B=B29)*($C:$C="tm        ")),"")</f>
        <v/>
      </c>
      <c r="O29" t="str">
        <f t="shared" si="1"/>
        <v/>
      </c>
      <c r="P29" t="str">
        <f t="shared" si="0"/>
        <v/>
      </c>
    </row>
    <row r="30" spans="1:16" x14ac:dyDescent="0.25">
      <c r="A30" s="1">
        <v>45947.951828703706</v>
      </c>
      <c r="B30">
        <v>8</v>
      </c>
      <c r="C30" t="s">
        <v>13</v>
      </c>
      <c r="D30">
        <v>27261.088199999998</v>
      </c>
      <c r="E30">
        <v>0</v>
      </c>
      <c r="F30">
        <v>0</v>
      </c>
      <c r="G30">
        <v>5000</v>
      </c>
      <c r="H30">
        <v>43397.4876993</v>
      </c>
      <c r="I30">
        <v>10.399328560000001</v>
      </c>
      <c r="J30">
        <v>40.123950379999997</v>
      </c>
      <c r="K30">
        <v>-5814.8573035600002</v>
      </c>
      <c r="L30">
        <v>-15406.671049979999</v>
      </c>
      <c r="M30">
        <v>-21221.528353549998</v>
      </c>
      <c r="N30" t="str" cm="1">
        <f t="array" ref="N30">IF(C30="cp        ",_xlfn._xlws.FILTER(M:M,($B:$B=B30)*($C:$C="tm        ")),"")</f>
        <v/>
      </c>
      <c r="O30" t="str">
        <f t="shared" si="1"/>
        <v/>
      </c>
      <c r="P30" t="str">
        <f t="shared" si="0"/>
        <v/>
      </c>
    </row>
    <row r="31" spans="1:16" x14ac:dyDescent="0.25">
      <c r="A31" s="1">
        <v>45947.951828703706</v>
      </c>
      <c r="B31">
        <v>8</v>
      </c>
      <c r="C31" t="s">
        <v>14</v>
      </c>
      <c r="D31">
        <v>14663.8496</v>
      </c>
      <c r="E31">
        <v>0.81269999999999998</v>
      </c>
      <c r="F31">
        <v>0</v>
      </c>
      <c r="G31">
        <v>5000</v>
      </c>
      <c r="H31">
        <v>43397.4876993</v>
      </c>
      <c r="I31">
        <v>0</v>
      </c>
      <c r="J31">
        <v>40.33330402</v>
      </c>
      <c r="K31">
        <v>-3642.8985193799999</v>
      </c>
      <c r="L31">
        <v>-15809.262855110001</v>
      </c>
      <c r="M31">
        <v>-19452.161374489999</v>
      </c>
      <c r="N31" cm="1">
        <f t="array" ref="N31">IF(C31="cp        ",_xlfn._xlws.FILTER(M:M,($B:$B=B31)*($C:$C="tm        ")),"")</f>
        <v>-19452.1613745</v>
      </c>
      <c r="O31">
        <f t="shared" si="1"/>
        <v>1</v>
      </c>
      <c r="P31" t="str">
        <f t="shared" si="0"/>
        <v/>
      </c>
    </row>
    <row r="32" spans="1:16" x14ac:dyDescent="0.25">
      <c r="A32" s="1">
        <v>45947.951828703706</v>
      </c>
      <c r="B32">
        <v>8</v>
      </c>
      <c r="C32" t="s">
        <v>15</v>
      </c>
      <c r="D32">
        <v>27261.088199999998</v>
      </c>
      <c r="E32">
        <v>0</v>
      </c>
      <c r="F32">
        <v>0</v>
      </c>
      <c r="G32">
        <v>5000</v>
      </c>
      <c r="H32">
        <v>43397.4876993</v>
      </c>
      <c r="I32">
        <v>10.399328560000001</v>
      </c>
      <c r="J32">
        <v>40.123950379999997</v>
      </c>
      <c r="K32">
        <v>-5814.8573035600002</v>
      </c>
      <c r="L32">
        <v>-15406.671049979999</v>
      </c>
      <c r="M32">
        <v>-21221.528353549998</v>
      </c>
      <c r="N32" t="str" cm="1">
        <f t="array" ref="N32">IF(C32="cp        ",_xlfn._xlws.FILTER(M:M,($B:$B=B32)*($C:$C="tm        ")),"")</f>
        <v/>
      </c>
      <c r="O32" t="str">
        <f t="shared" si="1"/>
        <v/>
      </c>
      <c r="P32" t="str">
        <f t="shared" si="0"/>
        <v/>
      </c>
    </row>
    <row r="33" spans="1:16" x14ac:dyDescent="0.25">
      <c r="A33" s="1">
        <v>45947.951828703706</v>
      </c>
      <c r="B33">
        <v>8</v>
      </c>
      <c r="C33" t="s">
        <v>16</v>
      </c>
      <c r="D33">
        <v>9046.2767999999996</v>
      </c>
      <c r="E33">
        <v>0.875</v>
      </c>
      <c r="F33">
        <v>962.42629999999997</v>
      </c>
      <c r="G33">
        <v>5000</v>
      </c>
      <c r="H33">
        <v>43397.4876993</v>
      </c>
      <c r="I33">
        <v>0</v>
      </c>
      <c r="J33">
        <v>42.331155080000002</v>
      </c>
      <c r="K33">
        <v>-1865.0368653200001</v>
      </c>
      <c r="L33">
        <v>-17587.124509180001</v>
      </c>
      <c r="M33">
        <v>-19452.1613745</v>
      </c>
      <c r="N33" t="str" cm="1">
        <f t="array" ref="N33">IF(C33="cp        ",_xlfn._xlws.FILTER(M:M,($B:$B=B33)*($C:$C="tm        ")),"")</f>
        <v/>
      </c>
      <c r="O33" t="str">
        <f t="shared" si="1"/>
        <v/>
      </c>
      <c r="P33" t="str">
        <f t="shared" si="0"/>
        <v/>
      </c>
    </row>
    <row r="34" spans="1:16" x14ac:dyDescent="0.25">
      <c r="A34" s="1">
        <v>45947.951874999999</v>
      </c>
      <c r="B34">
        <v>9</v>
      </c>
      <c r="C34" t="s">
        <v>13</v>
      </c>
      <c r="D34">
        <v>47261.088199999998</v>
      </c>
      <c r="E34">
        <v>0</v>
      </c>
      <c r="F34">
        <v>0</v>
      </c>
      <c r="G34">
        <v>5000</v>
      </c>
      <c r="H34">
        <v>31465.088213430001</v>
      </c>
      <c r="I34">
        <v>36.780744230000003</v>
      </c>
      <c r="J34">
        <v>34.496987859999997</v>
      </c>
      <c r="K34">
        <v>-15592.483888049999</v>
      </c>
      <c r="L34">
        <v>-11170.51445517</v>
      </c>
      <c r="M34">
        <v>-26762.99834323</v>
      </c>
      <c r="N34" t="str" cm="1">
        <f t="array" ref="N34">IF(C34="cp        ",_xlfn._xlws.FILTER(M:M,($B:$B=B34)*($C:$C="tm        ")),"")</f>
        <v/>
      </c>
      <c r="O34" t="str">
        <f t="shared" si="1"/>
        <v/>
      </c>
      <c r="P34" t="str">
        <f t="shared" si="0"/>
        <v/>
      </c>
    </row>
    <row r="35" spans="1:16" x14ac:dyDescent="0.25">
      <c r="A35" s="1">
        <v>45947.951874999999</v>
      </c>
      <c r="B35">
        <v>9</v>
      </c>
      <c r="C35" t="s">
        <v>14</v>
      </c>
      <c r="D35">
        <v>20322.519100000001</v>
      </c>
      <c r="E35">
        <v>0.75880000000000003</v>
      </c>
      <c r="F35">
        <v>0</v>
      </c>
      <c r="G35">
        <v>5000</v>
      </c>
      <c r="H35">
        <v>31465.088213430001</v>
      </c>
      <c r="I35">
        <v>4.9790970999999997</v>
      </c>
      <c r="J35">
        <v>38.203496049999998</v>
      </c>
      <c r="K35">
        <v>-4996.6099207200004</v>
      </c>
      <c r="L35">
        <v>-15721.864162710001</v>
      </c>
      <c r="M35">
        <v>-20718.47408344</v>
      </c>
      <c r="N35" cm="1">
        <f t="array" ref="N35">IF(C35="cp        ",_xlfn._xlws.FILTER(M:M,($B:$B=B35)*($C:$C="tm        ")),"")</f>
        <v>-20718.474083429999</v>
      </c>
      <c r="O35">
        <f t="shared" si="1"/>
        <v>1</v>
      </c>
      <c r="P35" t="str">
        <f t="shared" si="0"/>
        <v/>
      </c>
    </row>
    <row r="36" spans="1:16" x14ac:dyDescent="0.25">
      <c r="A36" s="1">
        <v>45947.951874999999</v>
      </c>
      <c r="B36">
        <v>9</v>
      </c>
      <c r="C36" t="s">
        <v>15</v>
      </c>
      <c r="D36">
        <v>47261.088199999998</v>
      </c>
      <c r="E36">
        <v>0</v>
      </c>
      <c r="F36">
        <v>0</v>
      </c>
      <c r="G36">
        <v>5000</v>
      </c>
      <c r="H36">
        <v>31465.088213430001</v>
      </c>
      <c r="I36">
        <v>36.780744230000003</v>
      </c>
      <c r="J36">
        <v>34.496987859999997</v>
      </c>
      <c r="K36">
        <v>-15592.483888049999</v>
      </c>
      <c r="L36">
        <v>-11170.51445517</v>
      </c>
      <c r="M36">
        <v>-26762.99834323</v>
      </c>
      <c r="N36" t="str" cm="1">
        <f t="array" ref="N36">IF(C36="cp        ",_xlfn._xlws.FILTER(M:M,($B:$B=B36)*($C:$C="tm        ")),"")</f>
        <v/>
      </c>
      <c r="O36" t="str">
        <f t="shared" si="1"/>
        <v/>
      </c>
      <c r="P36" t="str">
        <f t="shared" si="0"/>
        <v/>
      </c>
    </row>
    <row r="37" spans="1:16" x14ac:dyDescent="0.25">
      <c r="A37" s="1">
        <v>45947.951874999999</v>
      </c>
      <c r="B37">
        <v>9</v>
      </c>
      <c r="C37" t="s">
        <v>16</v>
      </c>
      <c r="D37">
        <v>10745.928599999999</v>
      </c>
      <c r="E37">
        <v>0.875</v>
      </c>
      <c r="F37">
        <v>1127.9947999999999</v>
      </c>
      <c r="G37">
        <v>5000</v>
      </c>
      <c r="H37">
        <v>31465.088213430001</v>
      </c>
      <c r="I37">
        <v>0</v>
      </c>
      <c r="J37">
        <v>41.285834620000003</v>
      </c>
      <c r="K37">
        <v>-2206.4442810999999</v>
      </c>
      <c r="L37">
        <v>-18512.029802339999</v>
      </c>
      <c r="M37">
        <v>-20718.474083429999</v>
      </c>
      <c r="N37" t="str" cm="1">
        <f t="array" ref="N37">IF(C37="cp        ",_xlfn._xlws.FILTER(M:M,($B:$B=B37)*($C:$C="tm        ")),"")</f>
        <v/>
      </c>
      <c r="O37" t="str">
        <f t="shared" si="1"/>
        <v/>
      </c>
      <c r="P37" t="str">
        <f t="shared" si="0"/>
        <v/>
      </c>
    </row>
    <row r="38" spans="1:16" x14ac:dyDescent="0.25">
      <c r="A38" s="1">
        <v>45947.951944444445</v>
      </c>
      <c r="B38">
        <v>10</v>
      </c>
      <c r="C38" t="s">
        <v>13</v>
      </c>
      <c r="D38">
        <v>57261.088199999998</v>
      </c>
      <c r="E38">
        <v>0</v>
      </c>
      <c r="F38">
        <v>0</v>
      </c>
      <c r="G38">
        <v>5000</v>
      </c>
      <c r="H38">
        <v>25498.888470490001</v>
      </c>
      <c r="I38">
        <v>40.127391260000003</v>
      </c>
      <c r="J38">
        <v>29.473430520000001</v>
      </c>
      <c r="K38">
        <v>-21106.796536450001</v>
      </c>
      <c r="L38">
        <v>-9052.4361577599993</v>
      </c>
      <c r="M38">
        <v>-30159.232694210001</v>
      </c>
      <c r="N38" t="str" cm="1">
        <f t="array" ref="N38">IF(C38="cp        ",_xlfn._xlws.FILTER(M:M,($B:$B=B38)*($C:$C="tm        ")),"")</f>
        <v/>
      </c>
      <c r="O38" t="str">
        <f t="shared" si="1"/>
        <v/>
      </c>
      <c r="P38" t="str">
        <f t="shared" si="0"/>
        <v/>
      </c>
    </row>
    <row r="39" spans="1:16" x14ac:dyDescent="0.25">
      <c r="A39" s="1">
        <v>45947.951944444445</v>
      </c>
      <c r="B39">
        <v>10</v>
      </c>
      <c r="C39" t="s">
        <v>14</v>
      </c>
      <c r="D39">
        <v>24578.390100000001</v>
      </c>
      <c r="E39">
        <v>0.71830000000000005</v>
      </c>
      <c r="F39">
        <v>0</v>
      </c>
      <c r="G39">
        <v>5000</v>
      </c>
      <c r="H39">
        <v>25498.888470490001</v>
      </c>
      <c r="I39">
        <v>14.958581560000001</v>
      </c>
      <c r="J39">
        <v>39.430364969999999</v>
      </c>
      <c r="K39">
        <v>-6434.7166774200005</v>
      </c>
      <c r="L39">
        <v>-16407.813340429999</v>
      </c>
      <c r="M39">
        <v>-22842.530017839999</v>
      </c>
      <c r="N39" cm="1">
        <f t="array" ref="N39">IF(C39="cp        ",_xlfn._xlws.FILTER(M:M,($B:$B=B39)*($C:$C="tm        ")),"")</f>
        <v>-22842.530017839999</v>
      </c>
      <c r="O39" t="str">
        <f t="shared" si="1"/>
        <v/>
      </c>
      <c r="P39" t="str">
        <f t="shared" si="0"/>
        <v/>
      </c>
    </row>
    <row r="40" spans="1:16" x14ac:dyDescent="0.25">
      <c r="A40" s="1">
        <v>45947.951944444445</v>
      </c>
      <c r="B40">
        <v>10</v>
      </c>
      <c r="C40" t="s">
        <v>15</v>
      </c>
      <c r="D40">
        <v>57261.088199999998</v>
      </c>
      <c r="E40">
        <v>0</v>
      </c>
      <c r="F40">
        <v>0</v>
      </c>
      <c r="G40">
        <v>5000</v>
      </c>
      <c r="H40">
        <v>25498.888470490001</v>
      </c>
      <c r="I40">
        <v>40.127391260000003</v>
      </c>
      <c r="J40">
        <v>29.473430520000001</v>
      </c>
      <c r="K40">
        <v>-21106.796536450001</v>
      </c>
      <c r="L40">
        <v>-9052.4361577599993</v>
      </c>
      <c r="M40">
        <v>-30159.232694210001</v>
      </c>
      <c r="N40" t="str" cm="1">
        <f t="array" ref="N40">IF(C40="cp        ",_xlfn._xlws.FILTER(M:M,($B:$B=B40)*($C:$C="tm        ")),"")</f>
        <v/>
      </c>
      <c r="O40" t="str">
        <f t="shared" si="1"/>
        <v/>
      </c>
      <c r="P40" t="str">
        <f t="shared" si="0"/>
        <v/>
      </c>
    </row>
    <row r="41" spans="1:16" x14ac:dyDescent="0.25">
      <c r="A41" s="1">
        <v>45947.951944444445</v>
      </c>
      <c r="B41">
        <v>10</v>
      </c>
      <c r="C41" t="s">
        <v>16</v>
      </c>
      <c r="D41">
        <v>19592.829399999999</v>
      </c>
      <c r="E41">
        <v>0.78120000000000001</v>
      </c>
      <c r="F41">
        <v>438.8519</v>
      </c>
      <c r="G41">
        <v>5000</v>
      </c>
      <c r="H41">
        <v>25498.888470490001</v>
      </c>
      <c r="I41">
        <v>4.5193447899999999</v>
      </c>
      <c r="J41">
        <v>40.755612139999997</v>
      </c>
      <c r="K41">
        <v>-4932.9370101900004</v>
      </c>
      <c r="L41">
        <v>-17909.593007660002</v>
      </c>
      <c r="M41">
        <v>-22842.530017839999</v>
      </c>
      <c r="N41" t="str" cm="1">
        <f t="array" ref="N41">IF(C41="cp        ",_xlfn._xlws.FILTER(M:M,($B:$B=B41)*($C:$C="tm        ")),"")</f>
        <v/>
      </c>
      <c r="O41" t="str">
        <f t="shared" si="1"/>
        <v/>
      </c>
      <c r="P41" t="str">
        <f t="shared" si="0"/>
        <v/>
      </c>
    </row>
    <row r="42" spans="1:16" x14ac:dyDescent="0.25">
      <c r="A42" s="1">
        <v>45947.951956018522</v>
      </c>
      <c r="B42">
        <v>11</v>
      </c>
      <c r="C42" t="s">
        <v>13</v>
      </c>
      <c r="D42">
        <v>67261.088199999998</v>
      </c>
      <c r="E42">
        <v>0</v>
      </c>
      <c r="F42">
        <v>0</v>
      </c>
      <c r="G42">
        <v>5000</v>
      </c>
      <c r="H42">
        <v>19532.688727550001</v>
      </c>
      <c r="I42">
        <v>42.121857679999998</v>
      </c>
      <c r="J42">
        <v>20.870685859999998</v>
      </c>
      <c r="K42">
        <v>-26731.560667829999</v>
      </c>
      <c r="L42">
        <v>-6934.35786035</v>
      </c>
      <c r="M42">
        <v>-33665.918528180002</v>
      </c>
      <c r="N42" t="str" cm="1">
        <f t="array" ref="N42">IF(C42="cp        ",_xlfn._xlws.FILTER(M:M,($B:$B=B42)*($C:$C="tm        ")),"")</f>
        <v/>
      </c>
      <c r="O42" t="str">
        <f t="shared" si="1"/>
        <v/>
      </c>
      <c r="P42" t="str">
        <f t="shared" si="0"/>
        <v/>
      </c>
    </row>
    <row r="43" spans="1:16" x14ac:dyDescent="0.25">
      <c r="A43" s="1">
        <v>45947.951956018522</v>
      </c>
      <c r="B43">
        <v>11</v>
      </c>
      <c r="C43" t="s">
        <v>14</v>
      </c>
      <c r="D43">
        <v>34307.963199999998</v>
      </c>
      <c r="E43">
        <v>0.59379999999999999</v>
      </c>
      <c r="F43">
        <v>0</v>
      </c>
      <c r="G43">
        <v>5000</v>
      </c>
      <c r="H43">
        <v>19532.688727550001</v>
      </c>
      <c r="I43">
        <v>30.60764966</v>
      </c>
      <c r="J43">
        <v>38.616585710000003</v>
      </c>
      <c r="K43">
        <v>-10746.144842780001</v>
      </c>
      <c r="L43">
        <v>-16024.79949922</v>
      </c>
      <c r="M43">
        <v>-26770.944341999999</v>
      </c>
      <c r="N43" cm="1">
        <f t="array" ref="N43">IF(C43="cp        ",_xlfn._xlws.FILTER(M:M,($B:$B=B43)*($C:$C="tm        ")),"")</f>
        <v>-26770.94434201</v>
      </c>
      <c r="O43">
        <f t="shared" si="1"/>
        <v>1</v>
      </c>
      <c r="P43" t="str">
        <f t="shared" si="0"/>
        <v/>
      </c>
    </row>
    <row r="44" spans="1:16" x14ac:dyDescent="0.25">
      <c r="A44" s="1">
        <v>45947.951956018522</v>
      </c>
      <c r="B44">
        <v>11</v>
      </c>
      <c r="C44" t="s">
        <v>15</v>
      </c>
      <c r="D44">
        <v>67261.088199999998</v>
      </c>
      <c r="E44">
        <v>0</v>
      </c>
      <c r="F44">
        <v>0</v>
      </c>
      <c r="G44">
        <v>5000</v>
      </c>
      <c r="H44">
        <v>19532.688727550001</v>
      </c>
      <c r="I44">
        <v>42.121857679999998</v>
      </c>
      <c r="J44">
        <v>20.870685859999998</v>
      </c>
      <c r="K44">
        <v>-26731.560667829999</v>
      </c>
      <c r="L44">
        <v>-6934.35786035</v>
      </c>
      <c r="M44">
        <v>-33665.918528180002</v>
      </c>
      <c r="N44" t="str" cm="1">
        <f t="array" ref="N44">IF(C44="cp        ",_xlfn._xlws.FILTER(M:M,($B:$B=B44)*($C:$C="tm        ")),"")</f>
        <v/>
      </c>
      <c r="O44" t="str">
        <f t="shared" si="1"/>
        <v/>
      </c>
      <c r="P44" t="str">
        <f t="shared" si="0"/>
        <v/>
      </c>
    </row>
    <row r="45" spans="1:16" x14ac:dyDescent="0.25">
      <c r="A45" s="1">
        <v>45947.951956018522</v>
      </c>
      <c r="B45">
        <v>11</v>
      </c>
      <c r="C45" t="s">
        <v>16</v>
      </c>
      <c r="D45">
        <v>23793.494299999998</v>
      </c>
      <c r="E45">
        <v>0.75</v>
      </c>
      <c r="F45">
        <v>381.17840000000001</v>
      </c>
      <c r="G45">
        <v>5000</v>
      </c>
      <c r="H45">
        <v>19532.688727550001</v>
      </c>
      <c r="I45">
        <v>17.461622120000001</v>
      </c>
      <c r="J45">
        <v>41.330066539999997</v>
      </c>
      <c r="K45">
        <v>-6720.7907467300001</v>
      </c>
      <c r="L45">
        <v>-20050.15359528</v>
      </c>
      <c r="M45">
        <v>-26770.94434201</v>
      </c>
      <c r="N45" t="str" cm="1">
        <f t="array" ref="N45">IF(C45="cp        ",_xlfn._xlws.FILTER(M:M,($B:$B=B45)*($C:$C="tm        ")),"")</f>
        <v/>
      </c>
      <c r="O45" t="str">
        <f t="shared" si="1"/>
        <v/>
      </c>
      <c r="P45" t="str">
        <f t="shared" si="0"/>
        <v/>
      </c>
    </row>
    <row r="46" spans="1:16" x14ac:dyDescent="0.25">
      <c r="A46" s="1">
        <v>45947.951967592591</v>
      </c>
      <c r="B46">
        <v>12</v>
      </c>
      <c r="C46" t="s">
        <v>13</v>
      </c>
      <c r="D46">
        <v>32693.694599999999</v>
      </c>
      <c r="E46">
        <v>0</v>
      </c>
      <c r="F46">
        <v>0</v>
      </c>
      <c r="G46">
        <v>5000</v>
      </c>
      <c r="H46">
        <v>55197.630948309998</v>
      </c>
      <c r="I46">
        <v>34.419237549999998</v>
      </c>
      <c r="J46">
        <v>3.3569550100000001</v>
      </c>
      <c r="K46">
        <v>-14378.07152408</v>
      </c>
      <c r="L46">
        <v>-4834.7747442700002</v>
      </c>
      <c r="M46">
        <v>-19212.846268360001</v>
      </c>
      <c r="N46" t="str" cm="1">
        <f t="array" ref="N46">IF(C46="cp        ",_xlfn._xlws.FILTER(M:M,($B:$B=B46)*($C:$C="tm        ")),"")</f>
        <v/>
      </c>
      <c r="O46" t="str">
        <f t="shared" si="1"/>
        <v/>
      </c>
      <c r="P46" t="str">
        <f t="shared" si="0"/>
        <v/>
      </c>
    </row>
    <row r="47" spans="1:16" x14ac:dyDescent="0.25">
      <c r="A47" s="1">
        <v>45947.951967592591</v>
      </c>
      <c r="B47">
        <v>12</v>
      </c>
      <c r="C47" t="s">
        <v>14</v>
      </c>
      <c r="D47">
        <v>11104.8703</v>
      </c>
      <c r="E47">
        <v>0.84660000000000002</v>
      </c>
      <c r="F47">
        <v>0</v>
      </c>
      <c r="G47">
        <v>5000</v>
      </c>
      <c r="H47">
        <v>55197.630948309998</v>
      </c>
      <c r="I47">
        <v>0</v>
      </c>
      <c r="J47">
        <v>32.153651000000004</v>
      </c>
      <c r="K47">
        <v>-2375.2575004999999</v>
      </c>
      <c r="L47">
        <v>-13110.88860694</v>
      </c>
      <c r="M47">
        <v>-15486.146107439999</v>
      </c>
      <c r="N47" cm="1">
        <f t="array" ref="N47">IF(C47="cp        ",_xlfn._xlws.FILTER(M:M,($B:$B=B47)*($C:$C="tm        ")),"")</f>
        <v>-15486.146107439999</v>
      </c>
      <c r="O47" t="str">
        <f t="shared" si="1"/>
        <v/>
      </c>
      <c r="P47" t="str">
        <f t="shared" si="0"/>
        <v/>
      </c>
    </row>
    <row r="48" spans="1:16" x14ac:dyDescent="0.25">
      <c r="A48" s="1">
        <v>45947.951967592591</v>
      </c>
      <c r="B48">
        <v>12</v>
      </c>
      <c r="C48" t="s">
        <v>15</v>
      </c>
      <c r="D48">
        <v>32693.694599999999</v>
      </c>
      <c r="E48">
        <v>0</v>
      </c>
      <c r="F48">
        <v>0</v>
      </c>
      <c r="G48">
        <v>5000</v>
      </c>
      <c r="H48">
        <v>55197.630948309998</v>
      </c>
      <c r="I48">
        <v>34.419237549999998</v>
      </c>
      <c r="J48">
        <v>3.3569550100000001</v>
      </c>
      <c r="K48">
        <v>-14378.07152408</v>
      </c>
      <c r="L48">
        <v>-4834.7747442700002</v>
      </c>
      <c r="M48">
        <v>-19212.846268360001</v>
      </c>
      <c r="N48" t="str" cm="1">
        <f t="array" ref="N48">IF(C48="cp        ",_xlfn._xlws.FILTER(M:M,($B:$B=B48)*($C:$C="tm        ")),"")</f>
        <v/>
      </c>
      <c r="O48" t="str">
        <f t="shared" si="1"/>
        <v/>
      </c>
      <c r="P48" t="str">
        <f t="shared" si="0"/>
        <v/>
      </c>
    </row>
    <row r="49" spans="1:16" x14ac:dyDescent="0.25">
      <c r="A49" s="1">
        <v>45947.951967592591</v>
      </c>
      <c r="B49">
        <v>12</v>
      </c>
      <c r="C49" t="s">
        <v>16</v>
      </c>
      <c r="D49">
        <v>9924.5170999999991</v>
      </c>
      <c r="E49">
        <v>0.875</v>
      </c>
      <c r="F49">
        <v>232.2063</v>
      </c>
      <c r="G49">
        <v>5000</v>
      </c>
      <c r="H49">
        <v>55197.630948309998</v>
      </c>
      <c r="I49">
        <v>0</v>
      </c>
      <c r="J49">
        <v>32.755139990000004</v>
      </c>
      <c r="K49">
        <v>-1933.2225555099999</v>
      </c>
      <c r="L49">
        <v>-13552.92355193</v>
      </c>
      <c r="M49">
        <v>-15486.146107439999</v>
      </c>
      <c r="N49" t="str" cm="1">
        <f t="array" ref="N49">IF(C49="cp        ",_xlfn._xlws.FILTER(M:M,($B:$B=B49)*($C:$C="tm        ")),"")</f>
        <v/>
      </c>
      <c r="O49" t="str">
        <f t="shared" si="1"/>
        <v/>
      </c>
      <c r="P49" t="str">
        <f t="shared" si="0"/>
        <v/>
      </c>
    </row>
    <row r="50" spans="1:16" x14ac:dyDescent="0.25">
      <c r="A50" s="1">
        <v>45947.951990740738</v>
      </c>
      <c r="B50">
        <v>13</v>
      </c>
      <c r="C50" t="s">
        <v>13</v>
      </c>
      <c r="D50">
        <v>34543.926700000004</v>
      </c>
      <c r="E50">
        <v>0</v>
      </c>
      <c r="F50">
        <v>0</v>
      </c>
      <c r="G50">
        <v>5000</v>
      </c>
      <c r="H50">
        <v>46608.099328769997</v>
      </c>
      <c r="I50">
        <v>32.373210460000003</v>
      </c>
      <c r="J50">
        <v>29.383112669999999</v>
      </c>
      <c r="K50">
        <v>-12445.13816421</v>
      </c>
      <c r="L50">
        <v>-9775.6482137300009</v>
      </c>
      <c r="M50">
        <v>-22220.78637794</v>
      </c>
      <c r="N50" t="str" cm="1">
        <f t="array" ref="N50">IF(C50="cp        ",_xlfn._xlws.FILTER(M:M,($B:$B=B50)*($C:$C="tm        ")),"")</f>
        <v/>
      </c>
      <c r="O50" t="str">
        <f t="shared" si="1"/>
        <v/>
      </c>
      <c r="P50" t="str">
        <f t="shared" si="0"/>
        <v/>
      </c>
    </row>
    <row r="51" spans="1:16" x14ac:dyDescent="0.25">
      <c r="A51" s="1">
        <v>45947.951990740738</v>
      </c>
      <c r="B51">
        <v>13</v>
      </c>
      <c r="C51" t="s">
        <v>14</v>
      </c>
      <c r="D51">
        <v>13548.5759</v>
      </c>
      <c r="E51">
        <v>0.82330000000000003</v>
      </c>
      <c r="F51">
        <v>0</v>
      </c>
      <c r="G51">
        <v>5000</v>
      </c>
      <c r="H51">
        <v>46608.099328769997</v>
      </c>
      <c r="I51">
        <v>0</v>
      </c>
      <c r="J51">
        <v>32.72658431</v>
      </c>
      <c r="K51">
        <v>-3070.4306064299999</v>
      </c>
      <c r="L51">
        <v>-14310.70565046</v>
      </c>
      <c r="M51">
        <v>-17381.13625689</v>
      </c>
      <c r="N51" cm="1">
        <f t="array" ref="N51">IF(C51="cp        ",_xlfn._xlws.FILTER(M:M,($B:$B=B51)*($C:$C="tm        ")),"")</f>
        <v>-17381.13625688</v>
      </c>
      <c r="O51">
        <f t="shared" si="1"/>
        <v>1</v>
      </c>
      <c r="P51" t="str">
        <f t="shared" si="0"/>
        <v/>
      </c>
    </row>
    <row r="52" spans="1:16" x14ac:dyDescent="0.25">
      <c r="A52" s="1">
        <v>45947.951990740738</v>
      </c>
      <c r="B52">
        <v>13</v>
      </c>
      <c r="C52" t="s">
        <v>15</v>
      </c>
      <c r="D52">
        <v>34543.926700000004</v>
      </c>
      <c r="E52">
        <v>0</v>
      </c>
      <c r="F52">
        <v>0</v>
      </c>
      <c r="G52">
        <v>5000</v>
      </c>
      <c r="H52">
        <v>46608.099328769997</v>
      </c>
      <c r="I52">
        <v>32.373210460000003</v>
      </c>
      <c r="J52">
        <v>29.383112669999999</v>
      </c>
      <c r="K52">
        <v>-12445.13816421</v>
      </c>
      <c r="L52">
        <v>-9775.6482137300009</v>
      </c>
      <c r="M52">
        <v>-22220.78637794</v>
      </c>
      <c r="N52" t="str" cm="1">
        <f t="array" ref="N52">IF(C52="cp        ",_xlfn._xlws.FILTER(M:M,($B:$B=B52)*($C:$C="tm        ")),"")</f>
        <v/>
      </c>
      <c r="O52" t="str">
        <f t="shared" si="1"/>
        <v/>
      </c>
      <c r="P52" t="str">
        <f t="shared" si="0"/>
        <v/>
      </c>
    </row>
    <row r="53" spans="1:16" x14ac:dyDescent="0.25">
      <c r="A53" s="1">
        <v>45947.951990740738</v>
      </c>
      <c r="B53">
        <v>13</v>
      </c>
      <c r="C53" t="s">
        <v>16</v>
      </c>
      <c r="D53">
        <v>10634.7469</v>
      </c>
      <c r="E53">
        <v>0.875</v>
      </c>
      <c r="F53">
        <v>484.9402</v>
      </c>
      <c r="G53">
        <v>5000</v>
      </c>
      <c r="H53">
        <v>46608.099328769997</v>
      </c>
      <c r="I53">
        <v>0</v>
      </c>
      <c r="J53">
        <v>34.015192980000002</v>
      </c>
      <c r="K53">
        <v>-2108.4189902600001</v>
      </c>
      <c r="L53">
        <v>-15272.71726662</v>
      </c>
      <c r="M53">
        <v>-17381.13625688</v>
      </c>
      <c r="N53" t="str" cm="1">
        <f t="array" ref="N53">IF(C53="cp        ",_xlfn._xlws.FILTER(M:M,($B:$B=B53)*($C:$C="tm        ")),"")</f>
        <v/>
      </c>
      <c r="O53" t="str">
        <f t="shared" si="1"/>
        <v/>
      </c>
      <c r="P53" t="str">
        <f t="shared" si="0"/>
        <v/>
      </c>
    </row>
    <row r="54" spans="1:16" x14ac:dyDescent="0.25">
      <c r="A54" s="1">
        <v>45947.952013888891</v>
      </c>
      <c r="B54">
        <v>14</v>
      </c>
      <c r="C54" t="s">
        <v>13</v>
      </c>
      <c r="D54">
        <v>41036.674400000004</v>
      </c>
      <c r="E54">
        <v>0</v>
      </c>
      <c r="F54">
        <v>0</v>
      </c>
      <c r="G54">
        <v>5000</v>
      </c>
      <c r="H54">
        <v>28711.233572900001</v>
      </c>
      <c r="I54">
        <v>28.26235638</v>
      </c>
      <c r="J54">
        <v>42.073805419999999</v>
      </c>
      <c r="K54">
        <v>-8761.6402491499994</v>
      </c>
      <c r="L54">
        <v>-14600.783674689999</v>
      </c>
      <c r="M54">
        <v>-23362.42392384</v>
      </c>
      <c r="N54" t="str" cm="1">
        <f t="array" ref="N54">IF(C54="cp        ",_xlfn._xlws.FILTER(M:M,($B:$B=B54)*($C:$C="tm        ")),"")</f>
        <v/>
      </c>
      <c r="O54" t="str">
        <f t="shared" si="1"/>
        <v/>
      </c>
      <c r="P54" t="str">
        <f t="shared" si="0"/>
        <v/>
      </c>
    </row>
    <row r="55" spans="1:16" x14ac:dyDescent="0.25">
      <c r="A55" s="1">
        <v>45947.952013888891</v>
      </c>
      <c r="B55">
        <v>14</v>
      </c>
      <c r="C55" t="s">
        <v>14</v>
      </c>
      <c r="D55">
        <v>22123.879300000001</v>
      </c>
      <c r="E55">
        <v>0.74170000000000003</v>
      </c>
      <c r="F55">
        <v>0</v>
      </c>
      <c r="G55">
        <v>5000</v>
      </c>
      <c r="H55">
        <v>28711.233572900001</v>
      </c>
      <c r="I55">
        <v>8.4753830400000005</v>
      </c>
      <c r="J55">
        <v>42.803354339999999</v>
      </c>
      <c r="K55">
        <v>-5390.9195806799999</v>
      </c>
      <c r="L55">
        <v>-15478.006910669999</v>
      </c>
      <c r="M55">
        <v>-20868.926491350001</v>
      </c>
      <c r="N55" cm="1">
        <f t="array" ref="N55">IF(C55="cp        ",_xlfn._xlws.FILTER(M:M,($B:$B=B55)*($C:$C="tm        ")),"")</f>
        <v>-20868.926491350001</v>
      </c>
      <c r="O55" t="str">
        <f t="shared" si="1"/>
        <v/>
      </c>
      <c r="P55" t="str">
        <f t="shared" si="0"/>
        <v/>
      </c>
    </row>
    <row r="56" spans="1:16" x14ac:dyDescent="0.25">
      <c r="A56" s="1">
        <v>45947.952013888891</v>
      </c>
      <c r="B56">
        <v>14</v>
      </c>
      <c r="C56" t="s">
        <v>15</v>
      </c>
      <c r="D56">
        <v>41036.674400000004</v>
      </c>
      <c r="E56">
        <v>0</v>
      </c>
      <c r="F56">
        <v>0</v>
      </c>
      <c r="G56">
        <v>5000</v>
      </c>
      <c r="H56">
        <v>28711.233572900001</v>
      </c>
      <c r="I56">
        <v>28.26235638</v>
      </c>
      <c r="J56">
        <v>42.073805419999999</v>
      </c>
      <c r="K56">
        <v>-8761.6402491499994</v>
      </c>
      <c r="L56">
        <v>-14600.783674689999</v>
      </c>
      <c r="M56">
        <v>-23362.42392384</v>
      </c>
      <c r="N56" t="str" cm="1">
        <f t="array" ref="N56">IF(C56="cp        ",_xlfn._xlws.FILTER(M:M,($B:$B=B56)*($C:$C="tm        ")),"")</f>
        <v/>
      </c>
      <c r="O56" t="str">
        <f t="shared" si="1"/>
        <v/>
      </c>
      <c r="P56" t="str">
        <f t="shared" si="0"/>
        <v/>
      </c>
    </row>
    <row r="57" spans="1:16" x14ac:dyDescent="0.25">
      <c r="A57" s="1">
        <v>45947.952013888891</v>
      </c>
      <c r="B57">
        <v>14</v>
      </c>
      <c r="C57" t="s">
        <v>16</v>
      </c>
      <c r="D57">
        <v>20646.260699999999</v>
      </c>
      <c r="E57">
        <v>0.75</v>
      </c>
      <c r="F57">
        <v>197.1772</v>
      </c>
      <c r="G57">
        <v>5000</v>
      </c>
      <c r="H57">
        <v>28711.233572900001</v>
      </c>
      <c r="I57">
        <v>5.0645137499999997</v>
      </c>
      <c r="J57">
        <v>43.384232220000001</v>
      </c>
      <c r="K57">
        <v>-5007.8493796700004</v>
      </c>
      <c r="L57">
        <v>-15861.07711169</v>
      </c>
      <c r="M57">
        <v>-20868.926491350001</v>
      </c>
      <c r="N57" t="str" cm="1">
        <f t="array" ref="N57">IF(C57="cp        ",_xlfn._xlws.FILTER(M:M,($B:$B=B57)*($C:$C="tm        ")),"")</f>
        <v/>
      </c>
      <c r="O57" t="str">
        <f t="shared" si="1"/>
        <v/>
      </c>
      <c r="P57" t="str">
        <f t="shared" si="0"/>
        <v/>
      </c>
    </row>
    <row r="58" spans="1:16" x14ac:dyDescent="0.25">
      <c r="A58" s="1">
        <v>45947.952048611114</v>
      </c>
      <c r="B58">
        <v>15</v>
      </c>
      <c r="C58" t="s">
        <v>13</v>
      </c>
      <c r="D58">
        <v>54416.131399999998</v>
      </c>
      <c r="E58">
        <v>0</v>
      </c>
      <c r="F58">
        <v>0</v>
      </c>
      <c r="G58">
        <v>5000</v>
      </c>
      <c r="H58">
        <v>13440.173378830001</v>
      </c>
      <c r="I58">
        <v>39.557856770000001</v>
      </c>
      <c r="J58">
        <v>45.29134329</v>
      </c>
      <c r="K58">
        <v>-8446.5140875100005</v>
      </c>
      <c r="L58">
        <v>-10816.55639082</v>
      </c>
      <c r="M58">
        <v>-19263.07047834</v>
      </c>
      <c r="N58" t="str" cm="1">
        <f t="array" ref="N58">IF(C58="cp        ",_xlfn._xlws.FILTER(M:M,($B:$B=B58)*($C:$C="tm        ")),"")</f>
        <v/>
      </c>
      <c r="O58" t="str">
        <f t="shared" si="1"/>
        <v/>
      </c>
      <c r="P58" t="str">
        <f t="shared" si="0"/>
        <v/>
      </c>
    </row>
    <row r="59" spans="1:16" x14ac:dyDescent="0.25">
      <c r="A59" s="1">
        <v>45947.952048611114</v>
      </c>
      <c r="B59">
        <v>15</v>
      </c>
      <c r="C59" t="s">
        <v>14</v>
      </c>
      <c r="D59">
        <v>39794.905100000004</v>
      </c>
      <c r="E59">
        <v>0.57340000000000002</v>
      </c>
      <c r="F59">
        <v>0</v>
      </c>
      <c r="G59">
        <v>5000</v>
      </c>
      <c r="H59">
        <v>13440.173378830001</v>
      </c>
      <c r="I59">
        <v>37.784856509999997</v>
      </c>
      <c r="J59">
        <v>45.643537459999997</v>
      </c>
      <c r="K59">
        <v>-8089.4846350099997</v>
      </c>
      <c r="L59">
        <v>-10872.407155430001</v>
      </c>
      <c r="M59">
        <v>-18961.89179043</v>
      </c>
      <c r="N59" cm="1">
        <f t="array" ref="N59">IF(C59="cp        ",_xlfn._xlws.FILTER(M:M,($B:$B=B59)*($C:$C="tm        ")),"")</f>
        <v>-18961.89179043</v>
      </c>
      <c r="O59" t="str">
        <f t="shared" si="1"/>
        <v/>
      </c>
      <c r="P59" t="str">
        <f t="shared" si="0"/>
        <v/>
      </c>
    </row>
    <row r="60" spans="1:16" x14ac:dyDescent="0.25">
      <c r="A60" s="1">
        <v>45947.952048611114</v>
      </c>
      <c r="B60">
        <v>15</v>
      </c>
      <c r="C60" t="s">
        <v>15</v>
      </c>
      <c r="D60">
        <v>41445.845399999998</v>
      </c>
      <c r="E60">
        <v>0</v>
      </c>
      <c r="F60">
        <v>1392.9446</v>
      </c>
      <c r="G60">
        <v>5000</v>
      </c>
      <c r="H60">
        <v>13440.173378830001</v>
      </c>
      <c r="I60">
        <v>24.06334403</v>
      </c>
      <c r="J60">
        <v>51.83503245</v>
      </c>
      <c r="K60">
        <v>-6793.4541224799996</v>
      </c>
      <c r="L60">
        <v>-12358.95360411</v>
      </c>
      <c r="M60">
        <v>-19152.407726590001</v>
      </c>
      <c r="N60" t="str" cm="1">
        <f t="array" ref="N60">IF(C60="cp        ",_xlfn._xlws.FILTER(M:M,($B:$B=B60)*($C:$C="tm        ")),"")</f>
        <v/>
      </c>
      <c r="O60" t="str">
        <f t="shared" si="1"/>
        <v/>
      </c>
      <c r="P60" t="str">
        <f t="shared" si="0"/>
        <v/>
      </c>
    </row>
    <row r="61" spans="1:16" x14ac:dyDescent="0.25">
      <c r="A61" s="1">
        <v>45947.952048611114</v>
      </c>
      <c r="B61">
        <v>15</v>
      </c>
      <c r="C61" t="s">
        <v>16</v>
      </c>
      <c r="D61">
        <v>26364.216</v>
      </c>
      <c r="E61">
        <v>0.375</v>
      </c>
      <c r="F61">
        <v>1985.6719000000001</v>
      </c>
      <c r="G61">
        <v>5000</v>
      </c>
      <c r="H61">
        <v>13440.173378830001</v>
      </c>
      <c r="I61">
        <v>14.57321394</v>
      </c>
      <c r="J61">
        <v>53.94685501</v>
      </c>
      <c r="K61">
        <v>-5912.1127789299999</v>
      </c>
      <c r="L61">
        <v>-13049.779011500001</v>
      </c>
      <c r="M61">
        <v>-18961.89179043</v>
      </c>
      <c r="N61" t="str" cm="1">
        <f t="array" ref="N61">IF(C61="cp        ",_xlfn._xlws.FILTER(M:M,($B:$B=B61)*($C:$C="tm        ")),"")</f>
        <v/>
      </c>
      <c r="O61" t="str">
        <f t="shared" si="1"/>
        <v/>
      </c>
      <c r="P61" t="str">
        <f t="shared" si="0"/>
        <v/>
      </c>
    </row>
    <row r="62" spans="1:16" x14ac:dyDescent="0.25">
      <c r="A62" s="1">
        <v>45947.952118055553</v>
      </c>
      <c r="B62">
        <v>16</v>
      </c>
      <c r="C62" t="s">
        <v>13</v>
      </c>
      <c r="D62">
        <v>85884.200599999996</v>
      </c>
      <c r="E62">
        <v>0</v>
      </c>
      <c r="F62">
        <v>0</v>
      </c>
      <c r="G62">
        <v>5000</v>
      </c>
      <c r="H62">
        <v>2158.9006670899998</v>
      </c>
      <c r="I62">
        <v>58.379571910000003</v>
      </c>
      <c r="J62">
        <v>0</v>
      </c>
      <c r="K62">
        <v>-9785.6096436400003</v>
      </c>
      <c r="L62">
        <v>-2111.9052552899998</v>
      </c>
      <c r="M62">
        <v>-11897.51489893</v>
      </c>
      <c r="N62" t="str" cm="1">
        <f t="array" ref="N62">IF(C62="cp        ",_xlfn._xlws.FILTER(M:M,($B:$B=B62)*($C:$C="tm        ")),"")</f>
        <v/>
      </c>
      <c r="O62" t="str">
        <f t="shared" si="1"/>
        <v/>
      </c>
      <c r="P62" t="str">
        <f t="shared" si="0"/>
        <v/>
      </c>
    </row>
    <row r="63" spans="1:16" x14ac:dyDescent="0.25">
      <c r="A63" s="1">
        <v>45947.952118055553</v>
      </c>
      <c r="B63">
        <v>16</v>
      </c>
      <c r="C63" t="s">
        <v>14</v>
      </c>
      <c r="D63">
        <v>81356.448699999994</v>
      </c>
      <c r="E63">
        <v>0.17760000000000001</v>
      </c>
      <c r="F63">
        <v>0</v>
      </c>
      <c r="G63">
        <v>5000</v>
      </c>
      <c r="H63">
        <v>2158.9006670899998</v>
      </c>
      <c r="I63">
        <v>58.294421589999999</v>
      </c>
      <c r="J63">
        <v>0</v>
      </c>
      <c r="K63">
        <v>-9784.5298645099992</v>
      </c>
      <c r="L63">
        <v>-2112.3828162599998</v>
      </c>
      <c r="M63">
        <v>-11896.912680760001</v>
      </c>
      <c r="N63" cm="1">
        <f t="array" ref="N63">IF(C63="cp        ",_xlfn._xlws.FILTER(M:M,($B:$B=B63)*($C:$C="tm        ")),"")</f>
        <v>-11896.82140278</v>
      </c>
      <c r="O63">
        <f t="shared" si="1"/>
        <v>1</v>
      </c>
      <c r="P63" t="str">
        <f t="shared" si="0"/>
        <v/>
      </c>
    </row>
    <row r="64" spans="1:16" x14ac:dyDescent="0.25">
      <c r="A64" s="1">
        <v>45947.952118055553</v>
      </c>
      <c r="B64">
        <v>16</v>
      </c>
      <c r="C64" t="s">
        <v>15</v>
      </c>
      <c r="D64">
        <v>81633.133300000001</v>
      </c>
      <c r="E64">
        <v>0</v>
      </c>
      <c r="F64">
        <v>392.2398</v>
      </c>
      <c r="G64">
        <v>5000</v>
      </c>
      <c r="H64">
        <v>2158.9006670899998</v>
      </c>
      <c r="I64">
        <v>56.844950609999998</v>
      </c>
      <c r="J64">
        <v>0</v>
      </c>
      <c r="K64">
        <v>-9724.7955995400007</v>
      </c>
      <c r="L64">
        <v>-2172.11144642</v>
      </c>
      <c r="M64">
        <v>-11896.90704595</v>
      </c>
      <c r="N64" t="str" cm="1">
        <f t="array" ref="N64">IF(C64="cp        ",_xlfn._xlws.FILTER(M:M,($B:$B=B64)*($C:$C="tm        ")),"")</f>
        <v/>
      </c>
      <c r="O64" t="str">
        <f t="shared" si="1"/>
        <v/>
      </c>
      <c r="P64" t="str">
        <f t="shared" si="0"/>
        <v/>
      </c>
    </row>
    <row r="65" spans="1:16" x14ac:dyDescent="0.25">
      <c r="A65" s="1">
        <v>45947.952118055553</v>
      </c>
      <c r="B65">
        <v>16</v>
      </c>
      <c r="C65" t="s">
        <v>16</v>
      </c>
      <c r="D65">
        <v>81433.223800000007</v>
      </c>
      <c r="E65">
        <v>7.6E-3</v>
      </c>
      <c r="F65">
        <v>392.77030000000002</v>
      </c>
      <c r="G65">
        <v>5000</v>
      </c>
      <c r="H65">
        <v>2158.9006670899998</v>
      </c>
      <c r="I65">
        <v>56.83883728</v>
      </c>
      <c r="J65">
        <v>0</v>
      </c>
      <c r="K65">
        <v>-9724.6699236500008</v>
      </c>
      <c r="L65">
        <v>-2172.15147914</v>
      </c>
      <c r="M65">
        <v>-11896.82140278</v>
      </c>
      <c r="N65" t="str" cm="1">
        <f t="array" ref="N65">IF(C65="cp        ",_xlfn._xlws.FILTER(M:M,($B:$B=B65)*($C:$C="tm        ")),"")</f>
        <v/>
      </c>
      <c r="O65" t="str">
        <f t="shared" si="1"/>
        <v/>
      </c>
      <c r="P65" t="str">
        <f t="shared" si="0"/>
        <v/>
      </c>
    </row>
    <row r="66" spans="1:16" x14ac:dyDescent="0.25">
      <c r="A66" s="1">
        <v>45947.952152777776</v>
      </c>
      <c r="B66">
        <v>17</v>
      </c>
      <c r="C66" t="s">
        <v>13</v>
      </c>
      <c r="D66">
        <v>31949.849699999999</v>
      </c>
      <c r="E66">
        <v>0</v>
      </c>
      <c r="F66">
        <v>0</v>
      </c>
      <c r="G66">
        <v>5000</v>
      </c>
      <c r="H66">
        <v>59433.225564779998</v>
      </c>
      <c r="I66">
        <v>35.382738330000002</v>
      </c>
      <c r="J66">
        <v>11.879908609999999</v>
      </c>
      <c r="K66">
        <v>-15305.2925524</v>
      </c>
      <c r="L66">
        <v>-5836.1269060900004</v>
      </c>
      <c r="M66">
        <v>-21141.41945849</v>
      </c>
      <c r="N66" t="str" cm="1">
        <f t="array" ref="N66">IF(C66="cp        ",_xlfn._xlws.FILTER(M:M,($B:$B=B66)*($C:$C="tm        ")),"")</f>
        <v/>
      </c>
      <c r="O66" t="str">
        <f t="shared" si="1"/>
        <v/>
      </c>
      <c r="P66" t="str">
        <f t="shared" si="0"/>
        <v/>
      </c>
    </row>
    <row r="67" spans="1:16" x14ac:dyDescent="0.25">
      <c r="A67" s="1">
        <v>45947.952152777776</v>
      </c>
      <c r="B67">
        <v>17</v>
      </c>
      <c r="C67" t="s">
        <v>14</v>
      </c>
      <c r="D67">
        <v>10122.446900000001</v>
      </c>
      <c r="E67">
        <v>0.85599999999999998</v>
      </c>
      <c r="F67">
        <v>0</v>
      </c>
      <c r="G67">
        <v>5000</v>
      </c>
      <c r="H67">
        <v>59433.225564779998</v>
      </c>
      <c r="I67">
        <v>0</v>
      </c>
      <c r="J67">
        <v>33.639780600000002</v>
      </c>
      <c r="K67">
        <v>-2423.0662681899998</v>
      </c>
      <c r="L67">
        <v>-14401.05070964</v>
      </c>
      <c r="M67">
        <v>-16824.116977819998</v>
      </c>
      <c r="N67" cm="1">
        <f t="array" ref="N67">IF(C67="cp        ",_xlfn._xlws.FILTER(M:M,($B:$B=B67)*($C:$C="tm        ")),"")</f>
        <v>-16824.116977819998</v>
      </c>
      <c r="O67" t="str">
        <f t="shared" si="1"/>
        <v/>
      </c>
      <c r="P67" t="str">
        <f t="shared" ref="P67:P105" si="2">IF(OR(I67&lt;0,J67&lt;0),1,"")</f>
        <v/>
      </c>
    </row>
    <row r="68" spans="1:16" x14ac:dyDescent="0.25">
      <c r="A68" s="1">
        <v>45947.952152777776</v>
      </c>
      <c r="B68">
        <v>17</v>
      </c>
      <c r="C68" t="s">
        <v>15</v>
      </c>
      <c r="D68">
        <v>31949.849699999999</v>
      </c>
      <c r="E68">
        <v>0</v>
      </c>
      <c r="F68">
        <v>0</v>
      </c>
      <c r="G68">
        <v>5000</v>
      </c>
      <c r="H68">
        <v>59433.225564779998</v>
      </c>
      <c r="I68">
        <v>35.382738330000002</v>
      </c>
      <c r="J68">
        <v>11.879908609999999</v>
      </c>
      <c r="K68">
        <v>-15305.2925524</v>
      </c>
      <c r="L68">
        <v>-5836.1269060900004</v>
      </c>
      <c r="M68">
        <v>-21141.41945849</v>
      </c>
      <c r="N68" t="str" cm="1">
        <f t="array" ref="N68">IF(C68="cp        ",_xlfn._xlws.FILTER(M:M,($B:$B=B68)*($C:$C="tm        ")),"")</f>
        <v/>
      </c>
      <c r="O68" t="str">
        <f t="shared" ref="O68:O105" si="3">IF(AND(N68&lt;&gt;"",M68&lt;&gt;N68),1,"")</f>
        <v/>
      </c>
      <c r="P68" t="str">
        <f t="shared" si="2"/>
        <v/>
      </c>
    </row>
    <row r="69" spans="1:16" x14ac:dyDescent="0.25">
      <c r="A69" s="1">
        <v>45947.952152777776</v>
      </c>
      <c r="B69">
        <v>17</v>
      </c>
      <c r="C69" t="s">
        <v>16</v>
      </c>
      <c r="D69">
        <v>7146.3074999999999</v>
      </c>
      <c r="E69">
        <v>0.9375</v>
      </c>
      <c r="F69">
        <v>168.30350000000001</v>
      </c>
      <c r="G69">
        <v>5000</v>
      </c>
      <c r="H69">
        <v>59433.225564779998</v>
      </c>
      <c r="I69">
        <v>0</v>
      </c>
      <c r="J69">
        <v>35.140050770000002</v>
      </c>
      <c r="K69">
        <v>-1039.98274214</v>
      </c>
      <c r="L69">
        <v>-15784.13423569</v>
      </c>
      <c r="M69">
        <v>-16824.116977819998</v>
      </c>
      <c r="N69" t="str" cm="1">
        <f t="array" ref="N69">IF(C69="cp        ",_xlfn._xlws.FILTER(M:M,($B:$B=B69)*($C:$C="tm        ")),"")</f>
        <v/>
      </c>
      <c r="O69" t="str">
        <f t="shared" si="3"/>
        <v/>
      </c>
      <c r="P69" t="str">
        <f t="shared" si="2"/>
        <v/>
      </c>
    </row>
    <row r="70" spans="1:16" x14ac:dyDescent="0.25">
      <c r="A70" s="1">
        <v>45947.952164351853</v>
      </c>
      <c r="B70">
        <v>18</v>
      </c>
      <c r="C70" t="s">
        <v>13</v>
      </c>
      <c r="D70">
        <v>33554.877099999998</v>
      </c>
      <c r="E70">
        <v>0</v>
      </c>
      <c r="F70">
        <v>0</v>
      </c>
      <c r="G70">
        <v>5000</v>
      </c>
      <c r="H70">
        <v>50896.781779229997</v>
      </c>
      <c r="I70">
        <v>33.547328720000003</v>
      </c>
      <c r="J70">
        <v>28.893025099999999</v>
      </c>
      <c r="K70">
        <v>-13385.730569789999</v>
      </c>
      <c r="L70">
        <v>-9678.7268044600005</v>
      </c>
      <c r="M70">
        <v>-23064.45737425</v>
      </c>
      <c r="N70" t="str" cm="1">
        <f t="array" ref="N70">IF(C70="cp        ",_xlfn._xlws.FILTER(M:M,($B:$B=B70)*($C:$C="tm        ")),"")</f>
        <v/>
      </c>
      <c r="O70" t="str">
        <f t="shared" si="3"/>
        <v/>
      </c>
      <c r="P70" t="str">
        <f t="shared" si="2"/>
        <v/>
      </c>
    </row>
    <row r="71" spans="1:16" x14ac:dyDescent="0.25">
      <c r="A71" s="1">
        <v>45947.952164351853</v>
      </c>
      <c r="B71">
        <v>18</v>
      </c>
      <c r="C71" t="s">
        <v>14</v>
      </c>
      <c r="D71">
        <v>12242.2889</v>
      </c>
      <c r="E71">
        <v>0.83579999999999999</v>
      </c>
      <c r="F71">
        <v>0</v>
      </c>
      <c r="G71">
        <v>5000</v>
      </c>
      <c r="H71">
        <v>50896.781779229997</v>
      </c>
      <c r="I71">
        <v>0</v>
      </c>
      <c r="J71">
        <v>33.348589570000001</v>
      </c>
      <c r="K71">
        <v>-2942.88343609</v>
      </c>
      <c r="L71">
        <v>-14978.33321454</v>
      </c>
      <c r="M71">
        <v>-17921.216650620001</v>
      </c>
      <c r="N71" cm="1">
        <f t="array" ref="N71">IF(C71="cp        ",_xlfn._xlws.FILTER(M:M,($B:$B=B71)*($C:$C="tm        ")),"")</f>
        <v>-17921.216650620001</v>
      </c>
      <c r="O71" t="str">
        <f t="shared" si="3"/>
        <v/>
      </c>
      <c r="P71" t="str">
        <f t="shared" si="2"/>
        <v/>
      </c>
    </row>
    <row r="72" spans="1:16" x14ac:dyDescent="0.25">
      <c r="A72" s="1">
        <v>45947.952164351853</v>
      </c>
      <c r="B72">
        <v>18</v>
      </c>
      <c r="C72" t="s">
        <v>15</v>
      </c>
      <c r="D72">
        <v>33554.877099999998</v>
      </c>
      <c r="E72">
        <v>0</v>
      </c>
      <c r="F72">
        <v>0</v>
      </c>
      <c r="G72">
        <v>5000</v>
      </c>
      <c r="H72">
        <v>50896.781779229997</v>
      </c>
      <c r="I72">
        <v>33.547328720000003</v>
      </c>
      <c r="J72">
        <v>28.893025099999999</v>
      </c>
      <c r="K72">
        <v>-13385.730569789999</v>
      </c>
      <c r="L72">
        <v>-9678.7268044600005</v>
      </c>
      <c r="M72">
        <v>-23064.45737425</v>
      </c>
      <c r="N72" t="str" cm="1">
        <f t="array" ref="N72">IF(C72="cp        ",_xlfn._xlws.FILTER(M:M,($B:$B=B72)*($C:$C="tm        ")),"")</f>
        <v/>
      </c>
      <c r="O72" t="str">
        <f t="shared" si="3"/>
        <v/>
      </c>
      <c r="P72" t="str">
        <f t="shared" si="2"/>
        <v/>
      </c>
    </row>
    <row r="73" spans="1:16" x14ac:dyDescent="0.25">
      <c r="A73" s="1">
        <v>45947.952164351853</v>
      </c>
      <c r="B73">
        <v>18</v>
      </c>
      <c r="C73" t="s">
        <v>16</v>
      </c>
      <c r="D73">
        <v>10317.062599999999</v>
      </c>
      <c r="E73">
        <v>0.875</v>
      </c>
      <c r="F73">
        <v>179.19829999999999</v>
      </c>
      <c r="G73">
        <v>5000</v>
      </c>
      <c r="H73">
        <v>50896.781779229997</v>
      </c>
      <c r="I73">
        <v>0</v>
      </c>
      <c r="J73">
        <v>34.250918579999997</v>
      </c>
      <c r="K73">
        <v>-2201.3104826899998</v>
      </c>
      <c r="L73">
        <v>-15719.906167929999</v>
      </c>
      <c r="M73">
        <v>-17921.216650620001</v>
      </c>
      <c r="N73" t="str" cm="1">
        <f t="array" ref="N73">IF(C73="cp        ",_xlfn._xlws.FILTER(M:M,($B:$B=B73)*($C:$C="tm        ")),"")</f>
        <v/>
      </c>
      <c r="O73" t="str">
        <f t="shared" si="3"/>
        <v/>
      </c>
      <c r="P73" t="str">
        <f t="shared" si="2"/>
        <v/>
      </c>
    </row>
    <row r="74" spans="1:16" x14ac:dyDescent="0.25">
      <c r="A74" s="1">
        <v>45947.952187499999</v>
      </c>
      <c r="B74">
        <v>19</v>
      </c>
      <c r="C74" t="s">
        <v>13</v>
      </c>
      <c r="D74">
        <v>41673.885999999999</v>
      </c>
      <c r="E74">
        <v>0</v>
      </c>
      <c r="F74">
        <v>0</v>
      </c>
      <c r="G74">
        <v>5000</v>
      </c>
      <c r="H74">
        <v>27546.249180729999</v>
      </c>
      <c r="I74">
        <v>27.235570809999999</v>
      </c>
      <c r="J74">
        <v>40.705096380000001</v>
      </c>
      <c r="K74">
        <v>-8526.3674593199994</v>
      </c>
      <c r="L74">
        <v>-13623.141017890001</v>
      </c>
      <c r="M74">
        <v>-22149.508477210002</v>
      </c>
      <c r="N74" t="str" cm="1">
        <f t="array" ref="N74">IF(C74="cp        ",_xlfn._xlws.FILTER(M:M,($B:$B=B74)*($C:$C="tm        ")),"")</f>
        <v/>
      </c>
      <c r="O74" t="str">
        <f t="shared" si="3"/>
        <v/>
      </c>
      <c r="P74" t="str">
        <f t="shared" si="2"/>
        <v/>
      </c>
    </row>
    <row r="75" spans="1:16" x14ac:dyDescent="0.25">
      <c r="A75" s="1">
        <v>45947.952187499999</v>
      </c>
      <c r="B75">
        <v>19</v>
      </c>
      <c r="C75" t="s">
        <v>14</v>
      </c>
      <c r="D75">
        <v>22965.513900000002</v>
      </c>
      <c r="E75">
        <v>0.73370000000000002</v>
      </c>
      <c r="F75">
        <v>0</v>
      </c>
      <c r="G75">
        <v>5000</v>
      </c>
      <c r="H75">
        <v>27546.249180729999</v>
      </c>
      <c r="I75">
        <v>7.31320879</v>
      </c>
      <c r="J75">
        <v>41.461662830000002</v>
      </c>
      <c r="K75">
        <v>-5271.2947042300002</v>
      </c>
      <c r="L75">
        <v>-14520.438180630001</v>
      </c>
      <c r="M75">
        <v>-19791.732884860001</v>
      </c>
      <c r="N75" cm="1">
        <f t="array" ref="N75">IF(C75="cp        ",_xlfn._xlws.FILTER(M:M,($B:$B=B75)*($C:$C="tm        ")),"")</f>
        <v>-19791.732884860001</v>
      </c>
      <c r="O75" t="str">
        <f t="shared" si="3"/>
        <v/>
      </c>
      <c r="P75" t="str">
        <f t="shared" si="2"/>
        <v/>
      </c>
    </row>
    <row r="76" spans="1:16" x14ac:dyDescent="0.25">
      <c r="A76" s="1">
        <v>45947.952187499999</v>
      </c>
      <c r="B76">
        <v>19</v>
      </c>
      <c r="C76" t="s">
        <v>15</v>
      </c>
      <c r="D76">
        <v>41673.885999999999</v>
      </c>
      <c r="E76">
        <v>0</v>
      </c>
      <c r="F76">
        <v>0</v>
      </c>
      <c r="G76">
        <v>5000</v>
      </c>
      <c r="H76">
        <v>27546.249180729999</v>
      </c>
      <c r="I76">
        <v>27.235570809999999</v>
      </c>
      <c r="J76">
        <v>40.705096380000001</v>
      </c>
      <c r="K76">
        <v>-8526.3674593199994</v>
      </c>
      <c r="L76">
        <v>-13623.141017890001</v>
      </c>
      <c r="M76">
        <v>-22149.508477210002</v>
      </c>
      <c r="N76" t="str" cm="1">
        <f t="array" ref="N76">IF(C76="cp        ",_xlfn._xlws.FILTER(M:M,($B:$B=B76)*($C:$C="tm        ")),"")</f>
        <v/>
      </c>
      <c r="O76" t="str">
        <f t="shared" si="3"/>
        <v/>
      </c>
      <c r="P76" t="str">
        <f t="shared" si="2"/>
        <v/>
      </c>
    </row>
    <row r="77" spans="1:16" x14ac:dyDescent="0.25">
      <c r="A77" s="1">
        <v>45947.952187499999</v>
      </c>
      <c r="B77">
        <v>19</v>
      </c>
      <c r="C77" t="s">
        <v>16</v>
      </c>
      <c r="D77">
        <v>20157.359100000001</v>
      </c>
      <c r="E77">
        <v>0.75</v>
      </c>
      <c r="F77">
        <v>529.45280000000002</v>
      </c>
      <c r="G77">
        <v>5000</v>
      </c>
      <c r="H77">
        <v>27546.249180729999</v>
      </c>
      <c r="I77">
        <v>2.2254817500000001</v>
      </c>
      <c r="J77">
        <v>42.54664957</v>
      </c>
      <c r="K77">
        <v>-4612.8425213700002</v>
      </c>
      <c r="L77">
        <v>-15178.89036349</v>
      </c>
      <c r="M77">
        <v>-19791.732884860001</v>
      </c>
      <c r="N77" t="str" cm="1">
        <f t="array" ref="N77">IF(C77="cp        ",_xlfn._xlws.FILTER(M:M,($B:$B=B77)*($C:$C="tm        ")),"")</f>
        <v/>
      </c>
      <c r="O77" t="str">
        <f t="shared" si="3"/>
        <v/>
      </c>
      <c r="P77" t="str">
        <f t="shared" si="2"/>
        <v/>
      </c>
    </row>
    <row r="78" spans="1:16" x14ac:dyDescent="0.25">
      <c r="A78" s="1">
        <v>45947.952199074076</v>
      </c>
      <c r="B78">
        <v>20</v>
      </c>
      <c r="C78" t="s">
        <v>13</v>
      </c>
      <c r="D78">
        <v>52794.373800000001</v>
      </c>
      <c r="E78">
        <v>0</v>
      </c>
      <c r="F78">
        <v>0</v>
      </c>
      <c r="G78">
        <v>5000</v>
      </c>
      <c r="H78">
        <v>14617.29105048</v>
      </c>
      <c r="I78">
        <v>31.263855320000001</v>
      </c>
      <c r="J78">
        <v>40.402202019999997</v>
      </c>
      <c r="K78">
        <v>-7825.07149089</v>
      </c>
      <c r="L78">
        <v>-10281.027328009999</v>
      </c>
      <c r="M78">
        <v>-18106.098818900002</v>
      </c>
      <c r="N78" t="str" cm="1">
        <f t="array" ref="N78">IF(C78="cp        ",_xlfn._xlws.FILTER(M:M,($B:$B=B78)*($C:$C="tm        ")),"")</f>
        <v/>
      </c>
      <c r="O78" t="str">
        <f t="shared" si="3"/>
        <v/>
      </c>
      <c r="P78" t="str">
        <f t="shared" si="2"/>
        <v/>
      </c>
    </row>
    <row r="79" spans="1:16" x14ac:dyDescent="0.25">
      <c r="A79" s="1">
        <v>45947.952199074076</v>
      </c>
      <c r="B79">
        <v>20</v>
      </c>
      <c r="C79" t="s">
        <v>14</v>
      </c>
      <c r="D79">
        <v>37652.921999999999</v>
      </c>
      <c r="E79">
        <v>0.59379999999999999</v>
      </c>
      <c r="F79">
        <v>0</v>
      </c>
      <c r="G79">
        <v>5000</v>
      </c>
      <c r="H79">
        <v>14617.29105048</v>
      </c>
      <c r="I79">
        <v>28.65593264</v>
      </c>
      <c r="J79">
        <v>40.856143600000003</v>
      </c>
      <c r="K79">
        <v>-7133.7380855700003</v>
      </c>
      <c r="L79">
        <v>-10427.59427912</v>
      </c>
      <c r="M79">
        <v>-17561.332364689999</v>
      </c>
      <c r="N79" cm="1">
        <f t="array" ref="N79">IF(C79="cp        ",_xlfn._xlws.FILTER(M:M,($B:$B=B79)*($C:$C="tm        ")),"")</f>
        <v>-17561.332364689999</v>
      </c>
      <c r="O79" t="str">
        <f t="shared" si="3"/>
        <v/>
      </c>
      <c r="P79" t="str">
        <f t="shared" si="2"/>
        <v/>
      </c>
    </row>
    <row r="80" spans="1:16" x14ac:dyDescent="0.25">
      <c r="A80" s="1">
        <v>45947.952199074076</v>
      </c>
      <c r="B80">
        <v>20</v>
      </c>
      <c r="C80" t="s">
        <v>15</v>
      </c>
      <c r="D80">
        <v>41710.169500000004</v>
      </c>
      <c r="E80">
        <v>0</v>
      </c>
      <c r="F80">
        <v>2813.5021999999999</v>
      </c>
      <c r="G80">
        <v>5000</v>
      </c>
      <c r="H80">
        <v>14617.29105048</v>
      </c>
      <c r="I80">
        <v>18.036890320000001</v>
      </c>
      <c r="J80">
        <v>45.845992789999997</v>
      </c>
      <c r="K80">
        <v>-6328.5631797799997</v>
      </c>
      <c r="L80">
        <v>-11730.998646460001</v>
      </c>
      <c r="M80">
        <v>-18059.561826239998</v>
      </c>
      <c r="N80" t="str" cm="1">
        <f t="array" ref="N80">IF(C80="cp        ",_xlfn._xlws.FILTER(M:M,($B:$B=B80)*($C:$C="tm        ")),"")</f>
        <v/>
      </c>
      <c r="O80" t="str">
        <f t="shared" si="3"/>
        <v/>
      </c>
      <c r="P80" t="str">
        <f t="shared" si="2"/>
        <v/>
      </c>
    </row>
    <row r="81" spans="1:16" x14ac:dyDescent="0.25">
      <c r="A81" s="1">
        <v>45947.952199074076</v>
      </c>
      <c r="B81">
        <v>20</v>
      </c>
      <c r="C81" t="s">
        <v>16</v>
      </c>
      <c r="D81">
        <v>29437.116099999999</v>
      </c>
      <c r="E81">
        <v>0.5625</v>
      </c>
      <c r="F81">
        <v>2287.8975999999998</v>
      </c>
      <c r="G81">
        <v>5000</v>
      </c>
      <c r="H81">
        <v>14617.29105048</v>
      </c>
      <c r="I81">
        <v>16.13772861</v>
      </c>
      <c r="J81">
        <v>45.241504140000004</v>
      </c>
      <c r="K81">
        <v>-5961.8324848900002</v>
      </c>
      <c r="L81">
        <v>-11599.4998798</v>
      </c>
      <c r="M81">
        <v>-17561.332364689999</v>
      </c>
      <c r="N81" t="str" cm="1">
        <f t="array" ref="N81">IF(C81="cp        ",_xlfn._xlws.FILTER(M:M,($B:$B=B81)*($C:$C="tm        ")),"")</f>
        <v/>
      </c>
      <c r="O81" t="str">
        <f t="shared" si="3"/>
        <v/>
      </c>
      <c r="P81" t="str">
        <f t="shared" si="2"/>
        <v/>
      </c>
    </row>
    <row r="82" spans="1:16" x14ac:dyDescent="0.25">
      <c r="A82" s="1">
        <v>45947.952280092592</v>
      </c>
      <c r="B82">
        <v>21</v>
      </c>
      <c r="C82" t="s">
        <v>13</v>
      </c>
      <c r="D82">
        <v>75714.350699999995</v>
      </c>
      <c r="E82">
        <v>0</v>
      </c>
      <c r="F82">
        <v>0</v>
      </c>
      <c r="G82">
        <v>5000</v>
      </c>
      <c r="H82">
        <v>4398.4306578300002</v>
      </c>
      <c r="I82">
        <v>44.995300030000003</v>
      </c>
      <c r="J82">
        <v>0</v>
      </c>
      <c r="K82">
        <v>-8845.8957944800004</v>
      </c>
      <c r="L82">
        <v>-3865.89977559</v>
      </c>
      <c r="M82">
        <v>-12711.79557007</v>
      </c>
      <c r="N82" t="str" cm="1">
        <f t="array" ref="N82">IF(C82="cp        ",_xlfn._xlws.FILTER(M:M,($B:$B=B82)*($C:$C="tm        ")),"")</f>
        <v/>
      </c>
      <c r="O82" t="str">
        <f t="shared" si="3"/>
        <v/>
      </c>
      <c r="P82" t="str">
        <f t="shared" si="2"/>
        <v/>
      </c>
    </row>
    <row r="83" spans="1:16" x14ac:dyDescent="0.25">
      <c r="A83" s="1">
        <v>45947.952280092592</v>
      </c>
      <c r="B83">
        <v>21</v>
      </c>
      <c r="C83" t="s">
        <v>14</v>
      </c>
      <c r="D83">
        <v>67924.634900000005</v>
      </c>
      <c r="E83">
        <v>0.30549999999999999</v>
      </c>
      <c r="F83">
        <v>0</v>
      </c>
      <c r="G83">
        <v>5000</v>
      </c>
      <c r="H83">
        <v>4398.4306578300002</v>
      </c>
      <c r="I83">
        <v>44.678574789999999</v>
      </c>
      <c r="J83">
        <v>0</v>
      </c>
      <c r="K83">
        <v>-8805.7790317500003</v>
      </c>
      <c r="L83">
        <v>-3873.16074402</v>
      </c>
      <c r="M83">
        <v>-12678.939775770001</v>
      </c>
      <c r="N83" cm="1">
        <f t="array" ref="N83">IF(C83="cp        ",_xlfn._xlws.FILTER(M:M,($B:$B=B83)*($C:$C="tm        ")),"")</f>
        <v>-12678.939775770001</v>
      </c>
      <c r="O83" t="str">
        <f t="shared" si="3"/>
        <v/>
      </c>
      <c r="P83" t="str">
        <f t="shared" si="2"/>
        <v/>
      </c>
    </row>
    <row r="84" spans="1:16" x14ac:dyDescent="0.25">
      <c r="A84" s="1">
        <v>45947.952280092592</v>
      </c>
      <c r="B84">
        <v>21</v>
      </c>
      <c r="C84" t="s">
        <v>15</v>
      </c>
      <c r="D84">
        <v>54433.156000000003</v>
      </c>
      <c r="E84">
        <v>0</v>
      </c>
      <c r="F84">
        <v>6553.7496000000001</v>
      </c>
      <c r="G84">
        <v>5000</v>
      </c>
      <c r="H84">
        <v>4398.4306578300002</v>
      </c>
      <c r="I84">
        <v>34.975837679999998</v>
      </c>
      <c r="J84">
        <v>0</v>
      </c>
      <c r="K84">
        <v>-7910.1336715099997</v>
      </c>
      <c r="L84">
        <v>-4770.4400981600002</v>
      </c>
      <c r="M84">
        <v>-12680.573769660001</v>
      </c>
      <c r="N84" t="str" cm="1">
        <f t="array" ref="N84">IF(C84="cp        ",_xlfn._xlws.FILTER(M:M,($B:$B=B84)*($C:$C="tm        ")),"")</f>
        <v/>
      </c>
      <c r="O84" t="str">
        <f t="shared" si="3"/>
        <v/>
      </c>
      <c r="P84" t="str">
        <f t="shared" si="2"/>
        <v/>
      </c>
    </row>
    <row r="85" spans="1:16" x14ac:dyDescent="0.25">
      <c r="A85" s="1">
        <v>45947.952280092592</v>
      </c>
      <c r="B85">
        <v>21</v>
      </c>
      <c r="C85" t="s">
        <v>16</v>
      </c>
      <c r="D85">
        <v>62212.210099999997</v>
      </c>
      <c r="E85">
        <v>0.1875</v>
      </c>
      <c r="F85">
        <v>2685.6826000000001</v>
      </c>
      <c r="G85">
        <v>5000</v>
      </c>
      <c r="H85">
        <v>4398.4306578300002</v>
      </c>
      <c r="I85">
        <v>40.898805760000002</v>
      </c>
      <c r="J85">
        <v>0</v>
      </c>
      <c r="K85">
        <v>-8438.1091150699995</v>
      </c>
      <c r="L85">
        <v>-4240.8306607000004</v>
      </c>
      <c r="M85">
        <v>-12678.939775770001</v>
      </c>
      <c r="N85" t="str" cm="1">
        <f t="array" ref="N85">IF(C85="cp        ",_xlfn._xlws.FILTER(M:M,($B:$B=B85)*($C:$C="tm        ")),"")</f>
        <v/>
      </c>
      <c r="O85" t="str">
        <f t="shared" si="3"/>
        <v/>
      </c>
      <c r="P85" t="str">
        <f t="shared" si="2"/>
        <v/>
      </c>
    </row>
    <row r="86" spans="1:16" x14ac:dyDescent="0.25">
      <c r="A86" s="1">
        <v>45947.95239583333</v>
      </c>
      <c r="B86">
        <v>22</v>
      </c>
      <c r="C86" t="s">
        <v>13</v>
      </c>
      <c r="D86">
        <v>59572.044600000001</v>
      </c>
      <c r="E86">
        <v>0</v>
      </c>
      <c r="F86">
        <v>0</v>
      </c>
      <c r="G86">
        <v>5000</v>
      </c>
      <c r="H86">
        <v>-2449.8448173100001</v>
      </c>
      <c r="I86">
        <v>36.632511909999998</v>
      </c>
      <c r="J86">
        <v>0</v>
      </c>
      <c r="K86">
        <v>-8126.3800859200001</v>
      </c>
      <c r="L86">
        <v>-3745.8014409699999</v>
      </c>
      <c r="M86">
        <v>-11872.181526890001</v>
      </c>
      <c r="N86" t="str" cm="1">
        <f t="array" ref="N86">IF(C86="cp        ",_xlfn._xlws.FILTER(M:M,($B:$B=B86)*($C:$C="tm        ")),"")</f>
        <v/>
      </c>
      <c r="O86" t="str">
        <f t="shared" si="3"/>
        <v/>
      </c>
      <c r="P86" t="str">
        <f t="shared" si="2"/>
        <v/>
      </c>
    </row>
    <row r="87" spans="1:16" x14ac:dyDescent="0.25">
      <c r="A87" s="1">
        <v>45947.95239583333</v>
      </c>
      <c r="B87">
        <v>22</v>
      </c>
      <c r="C87" t="s">
        <v>14</v>
      </c>
      <c r="D87">
        <v>57558.930899999999</v>
      </c>
      <c r="E87">
        <v>7.8899999999999998E-2</v>
      </c>
      <c r="F87">
        <v>0</v>
      </c>
      <c r="G87">
        <v>5000</v>
      </c>
      <c r="H87">
        <v>-2449.8448173100001</v>
      </c>
      <c r="I87">
        <v>36.360640060000001</v>
      </c>
      <c r="J87">
        <v>0.64387119999999998</v>
      </c>
      <c r="K87">
        <v>-8067.2409788599998</v>
      </c>
      <c r="L87">
        <v>-3730.6523803999999</v>
      </c>
      <c r="M87">
        <v>-11797.893359260001</v>
      </c>
      <c r="N87" cm="1">
        <f t="array" ref="N87">IF(C87="cp        ",_xlfn._xlws.FILTER(M:M,($B:$B=B87)*($C:$C="tm        ")),"")</f>
        <v>-7487.7121658799997</v>
      </c>
      <c r="O87">
        <f t="shared" si="3"/>
        <v>1</v>
      </c>
      <c r="P87" t="str">
        <f t="shared" si="2"/>
        <v/>
      </c>
    </row>
    <row r="88" spans="1:16" x14ac:dyDescent="0.25">
      <c r="A88" s="1">
        <v>45947.95239583333</v>
      </c>
      <c r="B88">
        <v>22</v>
      </c>
      <c r="C88" t="s">
        <v>15</v>
      </c>
      <c r="D88">
        <v>38873.704400000002</v>
      </c>
      <c r="E88">
        <v>0</v>
      </c>
      <c r="F88">
        <v>5617.0608000000002</v>
      </c>
      <c r="G88">
        <v>5000</v>
      </c>
      <c r="H88">
        <v>-2449.8448173100001</v>
      </c>
      <c r="I88">
        <v>16.880077119999999</v>
      </c>
      <c r="J88">
        <v>0</v>
      </c>
      <c r="K88">
        <v>-6153.0149303600001</v>
      </c>
      <c r="L88">
        <v>-1343.55495868</v>
      </c>
      <c r="M88">
        <v>-7496.56988903</v>
      </c>
      <c r="N88" t="str" cm="1">
        <f t="array" ref="N88">IF(C88="cp        ",_xlfn._xlws.FILTER(M:M,($B:$B=B88)*($C:$C="tm        ")),"")</f>
        <v/>
      </c>
      <c r="O88" t="str">
        <f t="shared" si="3"/>
        <v/>
      </c>
      <c r="P88" t="str">
        <f t="shared" si="2"/>
        <v/>
      </c>
    </row>
    <row r="89" spans="1:16" x14ac:dyDescent="0.25">
      <c r="A89" s="1">
        <v>45947.95239583333</v>
      </c>
      <c r="B89">
        <v>22</v>
      </c>
      <c r="C89" t="s">
        <v>16</v>
      </c>
      <c r="D89">
        <v>38380.0262</v>
      </c>
      <c r="E89">
        <v>1.0999999999999999E-2</v>
      </c>
      <c r="F89">
        <v>5675.1854000000003</v>
      </c>
      <c r="G89">
        <v>5000</v>
      </c>
      <c r="H89">
        <v>-2449.8448173100001</v>
      </c>
      <c r="I89">
        <v>16.59037528</v>
      </c>
      <c r="J89">
        <v>0</v>
      </c>
      <c r="K89">
        <v>-6125.6850698899998</v>
      </c>
      <c r="L89">
        <v>-1362.0270959899999</v>
      </c>
      <c r="M89">
        <v>-7487.7121658799997</v>
      </c>
      <c r="N89" t="str" cm="1">
        <f t="array" ref="N89">IF(C89="cp        ",_xlfn._xlws.FILTER(M:M,($B:$B=B89)*($C:$C="tm        ")),"")</f>
        <v/>
      </c>
      <c r="O89" t="str">
        <f t="shared" si="3"/>
        <v/>
      </c>
      <c r="P89" t="str">
        <f t="shared" si="2"/>
        <v/>
      </c>
    </row>
    <row r="90" spans="1:16" x14ac:dyDescent="0.25">
      <c r="A90" s="1">
        <v>45947.952418981484</v>
      </c>
      <c r="B90">
        <v>23</v>
      </c>
      <c r="C90" t="s">
        <v>13</v>
      </c>
      <c r="D90">
        <v>37261.088199999998</v>
      </c>
      <c r="E90">
        <v>0</v>
      </c>
      <c r="F90">
        <v>0</v>
      </c>
      <c r="G90">
        <v>5000</v>
      </c>
      <c r="H90">
        <v>22515.788599020001</v>
      </c>
      <c r="I90">
        <v>30.001638710000002</v>
      </c>
      <c r="J90">
        <v>25.823441549999998</v>
      </c>
      <c r="K90">
        <v>-10440.156118250001</v>
      </c>
      <c r="L90">
        <v>-7993.3970090599996</v>
      </c>
      <c r="M90">
        <v>-18433.553127309999</v>
      </c>
      <c r="N90" t="str" cm="1">
        <f t="array" ref="N90">IF(C90="cp        ",_xlfn._xlws.FILTER(M:M,($B:$B=B90)*($C:$C="tm        ")),"")</f>
        <v/>
      </c>
      <c r="O90" t="str">
        <f t="shared" si="3"/>
        <v/>
      </c>
      <c r="P90" t="str">
        <f t="shared" si="2"/>
        <v/>
      </c>
    </row>
    <row r="91" spans="1:16" x14ac:dyDescent="0.25">
      <c r="A91" s="1">
        <v>45947.952418981484</v>
      </c>
      <c r="B91">
        <v>23</v>
      </c>
      <c r="C91" t="s">
        <v>14</v>
      </c>
      <c r="D91">
        <v>19603.429599999999</v>
      </c>
      <c r="E91">
        <v>0.6925</v>
      </c>
      <c r="F91">
        <v>0</v>
      </c>
      <c r="G91">
        <v>5000</v>
      </c>
      <c r="H91">
        <v>22515.788599020001</v>
      </c>
      <c r="I91">
        <v>2.93580869</v>
      </c>
      <c r="J91">
        <v>28.846300970000001</v>
      </c>
      <c r="K91">
        <v>-4650.4196412299998</v>
      </c>
      <c r="L91">
        <v>-10470.788475310001</v>
      </c>
      <c r="M91">
        <v>-15121.20811654</v>
      </c>
      <c r="N91" cm="1">
        <f t="array" ref="N91">IF(C91="cp        ",_xlfn._xlws.FILTER(M:M,($B:$B=B91)*($C:$C="tm        ")),"")</f>
        <v>-15121.20811654</v>
      </c>
      <c r="O91" t="str">
        <f t="shared" si="3"/>
        <v/>
      </c>
      <c r="P91" t="str">
        <f t="shared" si="2"/>
        <v/>
      </c>
    </row>
    <row r="92" spans="1:16" x14ac:dyDescent="0.25">
      <c r="A92" s="1">
        <v>45947.952418981484</v>
      </c>
      <c r="B92">
        <v>23</v>
      </c>
      <c r="C92" t="s">
        <v>15</v>
      </c>
      <c r="D92">
        <v>37261.088199999998</v>
      </c>
      <c r="E92">
        <v>0</v>
      </c>
      <c r="F92">
        <v>0</v>
      </c>
      <c r="G92">
        <v>5000</v>
      </c>
      <c r="H92">
        <v>22515.788599020001</v>
      </c>
      <c r="I92">
        <v>30.001638710000002</v>
      </c>
      <c r="J92">
        <v>25.823441549999998</v>
      </c>
      <c r="K92">
        <v>-10440.156118250001</v>
      </c>
      <c r="L92">
        <v>-7993.3970090599996</v>
      </c>
      <c r="M92">
        <v>-18433.553127309999</v>
      </c>
      <c r="N92" t="str" cm="1">
        <f t="array" ref="N92">IF(C92="cp        ",_xlfn._xlws.FILTER(M:M,($B:$B=B92)*($C:$C="tm        ")),"")</f>
        <v/>
      </c>
      <c r="O92" t="str">
        <f t="shared" si="3"/>
        <v/>
      </c>
      <c r="P92" t="str">
        <f t="shared" si="2"/>
        <v/>
      </c>
    </row>
    <row r="93" spans="1:16" x14ac:dyDescent="0.25">
      <c r="A93" s="1">
        <v>45947.952418981484</v>
      </c>
      <c r="B93">
        <v>23</v>
      </c>
      <c r="C93" t="s">
        <v>16</v>
      </c>
      <c r="D93">
        <v>11935.588299999999</v>
      </c>
      <c r="E93">
        <v>0.8125</v>
      </c>
      <c r="F93">
        <v>953.00099999999998</v>
      </c>
      <c r="G93">
        <v>5000</v>
      </c>
      <c r="H93">
        <v>22515.788599020001</v>
      </c>
      <c r="I93">
        <v>0</v>
      </c>
      <c r="J93">
        <v>34.201445380000003</v>
      </c>
      <c r="K93">
        <v>-2464.9819020599998</v>
      </c>
      <c r="L93">
        <v>-12656.226214480001</v>
      </c>
      <c r="M93">
        <v>-15121.20811654</v>
      </c>
      <c r="N93" t="str" cm="1">
        <f t="array" ref="N93">IF(C93="cp        ",_xlfn._xlws.FILTER(M:M,($B:$B=B93)*($C:$C="tm        ")),"")</f>
        <v/>
      </c>
      <c r="O93" t="str">
        <f t="shared" si="3"/>
        <v/>
      </c>
      <c r="P93" t="str">
        <f t="shared" si="2"/>
        <v/>
      </c>
    </row>
    <row r="94" spans="1:16" x14ac:dyDescent="0.25">
      <c r="A94" s="1">
        <v>45947.952430555553</v>
      </c>
      <c r="B94">
        <v>24</v>
      </c>
      <c r="C94" t="s">
        <v>13</v>
      </c>
      <c r="D94">
        <v>37261.088199999998</v>
      </c>
      <c r="E94">
        <v>0</v>
      </c>
      <c r="F94">
        <v>0</v>
      </c>
      <c r="G94">
        <v>5000</v>
      </c>
      <c r="H94">
        <v>67262.286671060006</v>
      </c>
      <c r="I94">
        <v>30.001638710000002</v>
      </c>
      <c r="J94">
        <v>45.142362400000003</v>
      </c>
      <c r="K94">
        <v>-10440.156118250001</v>
      </c>
      <c r="L94">
        <v>-23878.984239630001</v>
      </c>
      <c r="M94">
        <v>-34319.140357880002</v>
      </c>
      <c r="N94" t="str" cm="1">
        <f t="array" ref="N94">IF(C94="cp        ",_xlfn._xlws.FILTER(M:M,($B:$B=B94)*($C:$C="tm        ")),"")</f>
        <v/>
      </c>
      <c r="O94" t="str">
        <f t="shared" si="3"/>
        <v/>
      </c>
      <c r="P94" t="str">
        <f t="shared" si="2"/>
        <v/>
      </c>
    </row>
    <row r="95" spans="1:16" x14ac:dyDescent="0.25">
      <c r="A95" s="1">
        <v>45947.952430555553</v>
      </c>
      <c r="B95">
        <v>24</v>
      </c>
      <c r="C95" t="s">
        <v>14</v>
      </c>
      <c r="D95">
        <v>15061.5242</v>
      </c>
      <c r="E95">
        <v>0.87060000000000004</v>
      </c>
      <c r="F95">
        <v>0</v>
      </c>
      <c r="G95">
        <v>5000</v>
      </c>
      <c r="H95">
        <v>67262.286671060006</v>
      </c>
      <c r="I95">
        <v>0</v>
      </c>
      <c r="J95">
        <v>45.56514061</v>
      </c>
      <c r="K95">
        <v>-3770.3053325699998</v>
      </c>
      <c r="L95">
        <v>-25359.947107100001</v>
      </c>
      <c r="M95">
        <v>-29130.252439669999</v>
      </c>
      <c r="N95" cm="1">
        <f t="array" ref="N95">IF(C95="cp        ",_xlfn._xlws.FILTER(M:M,($B:$B=B95)*($C:$C="tm        ")),"")</f>
        <v>-29130.252439669999</v>
      </c>
      <c r="O95" t="str">
        <f t="shared" si="3"/>
        <v/>
      </c>
      <c r="P95" t="str">
        <f t="shared" si="2"/>
        <v/>
      </c>
    </row>
    <row r="96" spans="1:16" x14ac:dyDescent="0.25">
      <c r="A96" s="1">
        <v>45947.952430555553</v>
      </c>
      <c r="B96">
        <v>24</v>
      </c>
      <c r="C96" t="s">
        <v>15</v>
      </c>
      <c r="D96">
        <v>37261.088199999998</v>
      </c>
      <c r="E96">
        <v>0</v>
      </c>
      <c r="F96">
        <v>0</v>
      </c>
      <c r="G96">
        <v>5000</v>
      </c>
      <c r="H96">
        <v>67262.286671060006</v>
      </c>
      <c r="I96">
        <v>30.001638710000002</v>
      </c>
      <c r="J96">
        <v>45.142362400000003</v>
      </c>
      <c r="K96">
        <v>-10440.156118250001</v>
      </c>
      <c r="L96">
        <v>-23878.984239630001</v>
      </c>
      <c r="M96">
        <v>-34319.140357880002</v>
      </c>
      <c r="N96" t="str" cm="1">
        <f t="array" ref="N96">IF(C96="cp        ",_xlfn._xlws.FILTER(M:M,($B:$B=B96)*($C:$C="tm        ")),"")</f>
        <v/>
      </c>
      <c r="O96" t="str">
        <f t="shared" si="3"/>
        <v/>
      </c>
      <c r="P96" t="str">
        <f t="shared" si="2"/>
        <v/>
      </c>
    </row>
    <row r="97" spans="1:16" x14ac:dyDescent="0.25">
      <c r="A97" s="1">
        <v>45947.952430555553</v>
      </c>
      <c r="B97">
        <v>24</v>
      </c>
      <c r="C97" t="s">
        <v>16</v>
      </c>
      <c r="D97">
        <v>14486.3529</v>
      </c>
      <c r="E97">
        <v>0.875</v>
      </c>
      <c r="F97">
        <v>95.622900000000001</v>
      </c>
      <c r="G97">
        <v>5000</v>
      </c>
      <c r="H97">
        <v>67262.286671060006</v>
      </c>
      <c r="I97">
        <v>0</v>
      </c>
      <c r="J97">
        <v>45.662582700000002</v>
      </c>
      <c r="K97">
        <v>-3588.9398206400001</v>
      </c>
      <c r="L97">
        <v>-25541.312619029999</v>
      </c>
      <c r="M97">
        <v>-29130.252439669999</v>
      </c>
      <c r="N97" t="str" cm="1">
        <f t="array" ref="N97">IF(C97="cp        ",_xlfn._xlws.FILTER(M:M,($B:$B=B97)*($C:$C="tm        ")),"")</f>
        <v/>
      </c>
      <c r="O97" t="str">
        <f t="shared" si="3"/>
        <v/>
      </c>
      <c r="P97" t="str">
        <f t="shared" si="2"/>
        <v/>
      </c>
    </row>
    <row r="98" spans="1:16" x14ac:dyDescent="0.25">
      <c r="A98" s="1">
        <v>45947.95244212963</v>
      </c>
      <c r="B98">
        <v>25</v>
      </c>
      <c r="C98" t="s">
        <v>13</v>
      </c>
      <c r="D98">
        <v>37261.088199999998</v>
      </c>
      <c r="E98">
        <v>0</v>
      </c>
      <c r="F98">
        <v>0</v>
      </c>
      <c r="G98">
        <v>5000</v>
      </c>
      <c r="H98">
        <v>97093.285385759998</v>
      </c>
      <c r="I98">
        <v>30.001638710000002</v>
      </c>
      <c r="J98">
        <v>47.850542920000002</v>
      </c>
      <c r="K98">
        <v>-10440.156118250001</v>
      </c>
      <c r="L98">
        <v>-34469.375726669998</v>
      </c>
      <c r="M98">
        <v>-44909.531844919999</v>
      </c>
      <c r="N98" t="str" cm="1">
        <f t="array" ref="N98">IF(C98="cp        ",_xlfn._xlws.FILTER(M:M,($B:$B=B98)*($C:$C="tm        ")),"")</f>
        <v/>
      </c>
      <c r="O98" t="str">
        <f t="shared" si="3"/>
        <v/>
      </c>
      <c r="P98" t="str">
        <f t="shared" si="2"/>
        <v/>
      </c>
    </row>
    <row r="99" spans="1:16" x14ac:dyDescent="0.25">
      <c r="A99" s="1">
        <v>45947.95244212963</v>
      </c>
      <c r="B99">
        <v>25</v>
      </c>
      <c r="C99" t="s">
        <v>14</v>
      </c>
      <c r="D99">
        <v>14142.1803</v>
      </c>
      <c r="E99">
        <v>0.90659999999999996</v>
      </c>
      <c r="F99">
        <v>0</v>
      </c>
      <c r="G99">
        <v>5000</v>
      </c>
      <c r="H99">
        <v>97093.285385759998</v>
      </c>
      <c r="I99">
        <v>0</v>
      </c>
      <c r="J99">
        <v>48.069869109999999</v>
      </c>
      <c r="K99">
        <v>-3649.0514907199999</v>
      </c>
      <c r="L99">
        <v>-35429.851489879999</v>
      </c>
      <c r="M99">
        <v>-39078.902980610001</v>
      </c>
      <c r="N99" cm="1">
        <f t="array" ref="N99">IF(C99="cp        ",_xlfn._xlws.FILTER(M:M,($B:$B=B99)*($C:$C="tm        ")),"")</f>
        <v>-39078.902980610001</v>
      </c>
      <c r="O99" t="str">
        <f t="shared" si="3"/>
        <v/>
      </c>
      <c r="P99" t="str">
        <f t="shared" si="2"/>
        <v/>
      </c>
    </row>
    <row r="100" spans="1:16" x14ac:dyDescent="0.25">
      <c r="A100" s="1">
        <v>45947.95244212963</v>
      </c>
      <c r="B100">
        <v>25</v>
      </c>
      <c r="C100" t="s">
        <v>15</v>
      </c>
      <c r="D100">
        <v>37261.088199999998</v>
      </c>
      <c r="E100">
        <v>0</v>
      </c>
      <c r="F100">
        <v>0</v>
      </c>
      <c r="G100">
        <v>5000</v>
      </c>
      <c r="H100">
        <v>97093.285385759998</v>
      </c>
      <c r="I100">
        <v>30.001638710000002</v>
      </c>
      <c r="J100">
        <v>47.850542920000002</v>
      </c>
      <c r="K100">
        <v>-10440.156118250001</v>
      </c>
      <c r="L100">
        <v>-34469.375726669998</v>
      </c>
      <c r="M100">
        <v>-44909.531844919999</v>
      </c>
      <c r="N100" t="str" cm="1">
        <f t="array" ref="N100">IF(C100="cp        ",_xlfn._xlws.FILTER(M:M,($B:$B=B100)*($C:$C="tm        ")),"")</f>
        <v/>
      </c>
      <c r="O100" t="str">
        <f t="shared" si="3"/>
        <v/>
      </c>
      <c r="P100" t="str">
        <f t="shared" si="2"/>
        <v/>
      </c>
    </row>
    <row r="101" spans="1:16" x14ac:dyDescent="0.25">
      <c r="A101" s="1">
        <v>45947.95244212963</v>
      </c>
      <c r="B101">
        <v>25</v>
      </c>
      <c r="C101" t="s">
        <v>16</v>
      </c>
      <c r="D101">
        <v>8738.3091000000004</v>
      </c>
      <c r="E101">
        <v>0.9375</v>
      </c>
      <c r="F101">
        <v>955.024</v>
      </c>
      <c r="G101">
        <v>5000</v>
      </c>
      <c r="H101">
        <v>97093.285385759998</v>
      </c>
      <c r="I101">
        <v>0</v>
      </c>
      <c r="J101">
        <v>48.580346239999997</v>
      </c>
      <c r="K101">
        <v>-1882.6483449499999</v>
      </c>
      <c r="L101">
        <v>-37196.25463566</v>
      </c>
      <c r="M101">
        <v>-39078.902980610001</v>
      </c>
      <c r="N101" t="str" cm="1">
        <f t="array" ref="N101">IF(C101="cp        ",_xlfn._xlws.FILTER(M:M,($B:$B=B101)*($C:$C="tm        ")),"")</f>
        <v/>
      </c>
      <c r="O101" t="str">
        <f t="shared" si="3"/>
        <v/>
      </c>
      <c r="P101" t="str">
        <f t="shared" si="2"/>
        <v/>
      </c>
    </row>
    <row r="102" spans="1:16" x14ac:dyDescent="0.25">
      <c r="A102" s="1">
        <v>45947.952465277776</v>
      </c>
      <c r="B102">
        <v>26</v>
      </c>
      <c r="C102" t="s">
        <v>13</v>
      </c>
      <c r="D102">
        <v>37261.088199999998</v>
      </c>
      <c r="E102">
        <v>0</v>
      </c>
      <c r="F102">
        <v>0</v>
      </c>
      <c r="G102">
        <v>5000</v>
      </c>
      <c r="H102">
        <v>126924.28410044999</v>
      </c>
      <c r="I102">
        <v>30.001638710000002</v>
      </c>
      <c r="J102">
        <v>49.259398019999999</v>
      </c>
      <c r="K102">
        <v>-10440.156118250001</v>
      </c>
      <c r="L102">
        <v>-45059.767213719999</v>
      </c>
      <c r="M102">
        <v>-55499.92333197</v>
      </c>
      <c r="N102" t="str" cm="1">
        <f t="array" ref="N102">IF(C102="cp        ",_xlfn._xlws.FILTER(M:M,($B:$B=B102)*($C:$C="tm        ")),"")</f>
        <v/>
      </c>
      <c r="O102" t="str">
        <f t="shared" si="3"/>
        <v/>
      </c>
      <c r="P102" t="str">
        <f t="shared" si="2"/>
        <v/>
      </c>
    </row>
    <row r="103" spans="1:16" x14ac:dyDescent="0.25">
      <c r="A103" s="1">
        <v>45947.952465277776</v>
      </c>
      <c r="B103">
        <v>26</v>
      </c>
      <c r="C103" t="s">
        <v>14</v>
      </c>
      <c r="D103">
        <v>13623.438200000001</v>
      </c>
      <c r="E103">
        <v>0.92700000000000005</v>
      </c>
      <c r="F103">
        <v>0</v>
      </c>
      <c r="G103">
        <v>5000</v>
      </c>
      <c r="H103">
        <v>126924.28410044999</v>
      </c>
      <c r="I103">
        <v>0</v>
      </c>
      <c r="J103">
        <v>49.393381939999998</v>
      </c>
      <c r="K103">
        <v>-3596.6489545999998</v>
      </c>
      <c r="L103">
        <v>-45650.201251309998</v>
      </c>
      <c r="M103">
        <v>-49246.850205909999</v>
      </c>
      <c r="N103" cm="1">
        <f t="array" ref="N103">IF(C103="cp        ",_xlfn._xlws.FILTER(M:M,($B:$B=B103)*($C:$C="tm        ")),"")</f>
        <v>-49246.850205909999</v>
      </c>
      <c r="O103" t="str">
        <f t="shared" si="3"/>
        <v/>
      </c>
      <c r="P103" t="str">
        <f t="shared" si="2"/>
        <v/>
      </c>
    </row>
    <row r="104" spans="1:16" x14ac:dyDescent="0.25">
      <c r="A104" s="1">
        <v>45947.952465277776</v>
      </c>
      <c r="B104">
        <v>26</v>
      </c>
      <c r="C104" t="s">
        <v>15</v>
      </c>
      <c r="D104">
        <v>37261.088199999998</v>
      </c>
      <c r="E104">
        <v>0</v>
      </c>
      <c r="F104">
        <v>0</v>
      </c>
      <c r="G104">
        <v>5000</v>
      </c>
      <c r="H104">
        <v>126924.28410044999</v>
      </c>
      <c r="I104">
        <v>30.001638710000002</v>
      </c>
      <c r="J104">
        <v>49.259398019999999</v>
      </c>
      <c r="K104">
        <v>-10440.156118250001</v>
      </c>
      <c r="L104">
        <v>-45059.767213719999</v>
      </c>
      <c r="M104">
        <v>-55499.92333197</v>
      </c>
      <c r="N104" t="str" cm="1">
        <f t="array" ref="N104">IF(C104="cp        ",_xlfn._xlws.FILTER(M:M,($B:$B=B104)*($C:$C="tm        ")),"")</f>
        <v/>
      </c>
      <c r="O104" t="str">
        <f t="shared" si="3"/>
        <v/>
      </c>
      <c r="P104" t="str">
        <f t="shared" si="2"/>
        <v/>
      </c>
    </row>
    <row r="105" spans="1:16" x14ac:dyDescent="0.25">
      <c r="A105" s="1">
        <v>45947.952465277776</v>
      </c>
      <c r="B105">
        <v>26</v>
      </c>
      <c r="C105" t="s">
        <v>16</v>
      </c>
      <c r="D105">
        <v>11298.3189</v>
      </c>
      <c r="E105">
        <v>0.9375</v>
      </c>
      <c r="F105">
        <v>425.43329999999997</v>
      </c>
      <c r="G105">
        <v>5000</v>
      </c>
      <c r="H105">
        <v>126924.28410044999</v>
      </c>
      <c r="I105">
        <v>0</v>
      </c>
      <c r="J105">
        <v>49.548608289999997</v>
      </c>
      <c r="K105">
        <v>-2818.0748258200001</v>
      </c>
      <c r="L105">
        <v>-46428.775380090003</v>
      </c>
      <c r="M105">
        <v>-49246.850205909999</v>
      </c>
      <c r="N105" t="str" cm="1">
        <f t="array" ref="N105">IF(C105="cp        ",_xlfn._xlws.FILTER(M:M,($B:$B=B105)*($C:$C="tm        ")),"")</f>
        <v/>
      </c>
      <c r="O105" t="str">
        <f t="shared" si="3"/>
        <v/>
      </c>
      <c r="P105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2025-10-17T20:52:18Z</dcterms:created>
  <dcterms:modified xsi:type="dcterms:W3CDTF">2025-10-17T20:54:28Z</dcterms:modified>
</cp:coreProperties>
</file>